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17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Q2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<sst xmlns="http://schemas.openxmlformats.org/spreadsheetml/2006/main" count="21" uniqueCount="14">
  <si>
    <t xml:space="preserve">rho_L_Ti</t>
  </si>
  <si>
    <t xml:space="preserve">sigma_L</t>
  </si>
  <si>
    <t xml:space="preserve">sigma_i</t>
  </si>
  <si>
    <t xml:space="preserve">delta</t>
  </si>
  <si>
    <t xml:space="preserve">L</t>
  </si>
  <si>
    <r>
      <rPr>
        <b val="true"/>
        <sz val="14"/>
        <color rgb="FF9900FF"/>
        <rFont val="Calibri"/>
        <family val="2"/>
        <charset val="1"/>
      </rPr>
      <t xml:space="preserve">Conclusion: </t>
    </r>
    <r>
      <rPr>
        <sz val="14"/>
        <color rgb="FF9900FF"/>
        <rFont val="Calibri"/>
        <family val="1"/>
      </rPr>
      <t xml:space="preserve">sigma_i and T_i-t are more likely to cause significantly large magnitude of ConvAdj. Therefore, in general, when sigma_i and T_i-t are small, convexity adjustment can be safely ignored. </t>
    </r>
  </si>
  <si>
    <t xml:space="preserve">sigma_f</t>
  </si>
  <si>
    <t xml:space="preserve">rho_Tf_Ti</t>
  </si>
  <si>
    <t xml:space="preserve">T_i – t</t>
  </si>
  <si>
    <t xml:space="preserve">For all combinations of the above parameters</t>
  </si>
  <si>
    <t xml:space="preserve">Ti – t</t>
  </si>
  <si>
    <t xml:space="preserve">convAdj</t>
  </si>
  <si>
    <t xml:space="preserve">exp(ConvAdj)</t>
  </si>
  <si>
    <t xml:space="preserve">Large?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</si>
</sst>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9900FF"/>
      <name val="Calibri"/>
      <family val="2"/>
      <charset val="1"/>
    </font>
    <font>
      <sz val="14"/>
      <color rgb="FF9900FF"/>
      <name val="Calibri"/>
      <family val="1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2B2B2"/>
        <bgColor rgb="FF96969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9900FF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7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3</xdr:col>
      <xdr:colOff>580680</xdr:colOff>
      <xdr:row>0</xdr:row>
      <xdr:rowOff>9720</xdr:rowOff>
    </xdr:from>
    <xdr:to>
      <xdr:col>10</xdr:col>
      <xdr:colOff>128520</xdr:colOff>
      <xdr:row>3</xdr:row>
      <xdr:rowOff>93240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2380680" y="9720"/>
          <a:ext cx="4161240" cy="60912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137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N24" activeCellId="0" sqref="N24"/>
    </sheetView>
  </sheetViews>
  <sheetFormatPr defaultRowHeight="15"/>
  <cols>
    <col collapsed="false" hidden="false" max="9" min="1" style="0" width="8.50510204081633"/>
    <col collapsed="false" hidden="false" max="10" min="10" style="0" width="14.3520408163265"/>
    <col collapsed="false" hidden="false" max="1025" min="11" style="0" width="8.50510204081633"/>
  </cols>
  <sheetData>
    <row r="1" customFormat="false" ht="13.8" hidden="false" customHeight="false" outlineLevel="0" collapsed="false">
      <c r="A1" s="1" t="s">
        <v>0</v>
      </c>
      <c r="B1" s="0" t="n">
        <v>0.5</v>
      </c>
      <c r="C1" s="0" t="n">
        <v>0.9</v>
      </c>
    </row>
    <row r="2" customFormat="false" ht="13.8" hidden="false" customHeight="false" outlineLevel="0" collapsed="false">
      <c r="A2" s="1" t="s">
        <v>1</v>
      </c>
      <c r="B2" s="0" t="n">
        <v>0.1</v>
      </c>
      <c r="C2" s="0" t="n">
        <v>0.3</v>
      </c>
    </row>
    <row r="3" customFormat="false" ht="13.8" hidden="false" customHeight="false" outlineLevel="0" collapsed="false">
      <c r="A3" s="1" t="s">
        <v>2</v>
      </c>
      <c r="B3" s="0" t="n">
        <v>0.1</v>
      </c>
      <c r="C3" s="0" t="n">
        <v>0.3</v>
      </c>
    </row>
    <row r="4" customFormat="false" ht="13.8" hidden="false" customHeight="false" outlineLevel="0" collapsed="false">
      <c r="A4" s="1" t="s">
        <v>3</v>
      </c>
      <c r="B4" s="0" t="n">
        <v>0.25</v>
      </c>
    </row>
    <row r="5" customFormat="false" ht="13.8" hidden="false" customHeight="true" outlineLevel="0" collapsed="false">
      <c r="A5" s="1" t="s">
        <v>4</v>
      </c>
      <c r="B5" s="0" t="n">
        <v>0.03</v>
      </c>
      <c r="C5" s="0" t="n">
        <v>0.15</v>
      </c>
      <c r="E5" s="2" t="s">
        <v>5</v>
      </c>
      <c r="F5" s="2"/>
      <c r="G5" s="2"/>
      <c r="H5" s="2"/>
      <c r="I5" s="2"/>
      <c r="J5" s="2"/>
      <c r="K5" s="2"/>
    </row>
    <row r="6" customFormat="false" ht="13.8" hidden="false" customHeight="false" outlineLevel="0" collapsed="false">
      <c r="A6" s="1" t="s">
        <v>6</v>
      </c>
      <c r="B6" s="0" t="n">
        <v>0.1</v>
      </c>
      <c r="C6" s="0" t="n">
        <v>0.3</v>
      </c>
      <c r="E6" s="2"/>
      <c r="F6" s="2"/>
      <c r="G6" s="2"/>
      <c r="H6" s="2"/>
      <c r="I6" s="2"/>
      <c r="J6" s="2"/>
      <c r="K6" s="2"/>
    </row>
    <row r="7" customFormat="false" ht="13.8" hidden="false" customHeight="false" outlineLevel="0" collapsed="false">
      <c r="A7" s="1" t="s">
        <v>7</v>
      </c>
      <c r="B7" s="0" t="n">
        <v>0.5</v>
      </c>
      <c r="C7" s="0" t="n">
        <v>0.9</v>
      </c>
      <c r="E7" s="2"/>
      <c r="F7" s="2"/>
      <c r="G7" s="2"/>
      <c r="H7" s="2"/>
      <c r="I7" s="2"/>
      <c r="J7" s="2"/>
      <c r="K7" s="2"/>
    </row>
    <row r="8" customFormat="false" ht="13.8" hidden="false" customHeight="false" outlineLevel="0" collapsed="false">
      <c r="A8" s="1" t="s">
        <v>8</v>
      </c>
      <c r="B8" s="0" t="n">
        <v>1</v>
      </c>
      <c r="C8" s="0" t="n">
        <v>10</v>
      </c>
      <c r="E8" s="2"/>
      <c r="F8" s="2"/>
      <c r="G8" s="2"/>
      <c r="H8" s="2"/>
      <c r="I8" s="2"/>
      <c r="J8" s="2"/>
      <c r="K8" s="2"/>
    </row>
    <row r="9" customFormat="false" ht="13.8" hidden="false" customHeight="false" outlineLevel="0" collapsed="false">
      <c r="A9" s="3" t="s">
        <v>9</v>
      </c>
      <c r="B9" s="3"/>
      <c r="C9" s="3"/>
      <c r="D9" s="3"/>
      <c r="E9" s="3"/>
      <c r="F9" s="3"/>
      <c r="G9" s="3"/>
    </row>
    <row r="10" customFormat="false" ht="13.8" hidden="false" customHeight="false" outlineLevel="0" collapsed="false">
      <c r="A10" s="1" t="s">
        <v>0</v>
      </c>
      <c r="B10" s="1" t="s">
        <v>1</v>
      </c>
      <c r="C10" s="1" t="s">
        <v>2</v>
      </c>
      <c r="D10" s="1" t="s">
        <v>3</v>
      </c>
      <c r="E10" s="1" t="s">
        <v>4</v>
      </c>
      <c r="F10" s="1" t="s">
        <v>6</v>
      </c>
      <c r="G10" s="1" t="s">
        <v>7</v>
      </c>
      <c r="H10" s="1" t="s">
        <v>10</v>
      </c>
      <c r="I10" s="4" t="s">
        <v>11</v>
      </c>
      <c r="J10" s="4" t="s">
        <v>12</v>
      </c>
      <c r="K10" s="4" t="s">
        <v>13</v>
      </c>
    </row>
    <row r="11" customFormat="false" ht="13.8" hidden="false" customHeight="false" outlineLevel="0" collapsed="false">
      <c r="A11" s="0" t="n">
        <v>0.5</v>
      </c>
      <c r="B11" s="0" t="n">
        <v>0.1</v>
      </c>
      <c r="C11" s="0" t="n">
        <v>0.1</v>
      </c>
      <c r="D11" s="0" t="n">
        <v>0.25</v>
      </c>
      <c r="E11" s="0" t="n">
        <v>0.03</v>
      </c>
      <c r="F11" s="0" t="n">
        <v>0.1</v>
      </c>
      <c r="G11" s="0" t="n">
        <v>0.5</v>
      </c>
      <c r="H11" s="0" t="n">
        <v>10</v>
      </c>
      <c r="I11" s="5" t="n">
        <f aca="false">(A11*B11*C11*D11*E11/(1+D11*E11)+C11*(C11-F11*G11))*H11</f>
        <v>0.0503722084367246</v>
      </c>
      <c r="J11" s="0" t="n">
        <f aca="false">EXP(I11)</f>
        <v>1.0516624611775</v>
      </c>
      <c r="K11" s="5" t="n">
        <f aca="false">IF(OR(J11&gt;1.05,J11&lt;0.95),1,0)</f>
        <v>1</v>
      </c>
    </row>
    <row r="12" customFormat="false" ht="13.8" hidden="false" customHeight="false" outlineLevel="0" collapsed="false">
      <c r="A12" s="0" t="n">
        <v>0.5</v>
      </c>
      <c r="B12" s="0" t="n">
        <v>0.1</v>
      </c>
      <c r="C12" s="0" t="n">
        <v>0.1</v>
      </c>
      <c r="D12" s="0" t="n">
        <v>0.25</v>
      </c>
      <c r="E12" s="0" t="n">
        <v>0.03</v>
      </c>
      <c r="F12" s="0" t="n">
        <v>0.1</v>
      </c>
      <c r="G12" s="0" t="n">
        <v>0.9</v>
      </c>
      <c r="H12" s="0" t="n">
        <v>1</v>
      </c>
      <c r="I12" s="5" t="n">
        <f aca="false">(A12*B12*C12*D12*E12/(1+D12*E12)+C12*(C12-F12*G12))*H12</f>
        <v>0.00103722084367246</v>
      </c>
      <c r="J12" s="0" t="n">
        <f aca="false">EXP(I12)</f>
        <v>1.00103775894324</v>
      </c>
      <c r="K12" s="5" t="n">
        <f aca="false">IF(OR(J12&gt;1.05,J12&lt;0.95),1,0)</f>
        <v>0</v>
      </c>
    </row>
    <row r="13" customFormat="false" ht="13.8" hidden="false" customHeight="false" outlineLevel="0" collapsed="false">
      <c r="A13" s="0" t="n">
        <v>0.5</v>
      </c>
      <c r="B13" s="0" t="n">
        <v>0.1</v>
      </c>
      <c r="C13" s="0" t="n">
        <v>0.1</v>
      </c>
      <c r="D13" s="0" t="n">
        <v>0.25</v>
      </c>
      <c r="E13" s="0" t="n">
        <v>0.03</v>
      </c>
      <c r="F13" s="0" t="n">
        <v>0.1</v>
      </c>
      <c r="G13" s="0" t="n">
        <v>0.9</v>
      </c>
      <c r="H13" s="0" t="n">
        <v>10</v>
      </c>
      <c r="I13" s="5" t="n">
        <f aca="false">(A13*B13*C13*D13*E13/(1+D13*E13)+C13*(C13-F13*G13))*H13</f>
        <v>0.0103722084367246</v>
      </c>
      <c r="J13" s="0" t="n">
        <f aca="false">EXP(I13)</f>
        <v>1.01042618625228</v>
      </c>
      <c r="K13" s="5" t="n">
        <f aca="false">IF(OR(J13&gt;1.05,J13&lt;0.95),1,0)</f>
        <v>0</v>
      </c>
    </row>
    <row r="14" customFormat="false" ht="13.8" hidden="false" customHeight="false" outlineLevel="0" collapsed="false">
      <c r="A14" s="0" t="n">
        <v>0.5</v>
      </c>
      <c r="B14" s="0" t="n">
        <v>0.1</v>
      </c>
      <c r="C14" s="0" t="n">
        <v>0.1</v>
      </c>
      <c r="D14" s="0" t="n">
        <v>0.25</v>
      </c>
      <c r="E14" s="0" t="n">
        <v>0.03</v>
      </c>
      <c r="F14" s="0" t="n">
        <v>0.3</v>
      </c>
      <c r="G14" s="0" t="n">
        <v>0.5</v>
      </c>
      <c r="H14" s="0" t="n">
        <v>1</v>
      </c>
      <c r="I14" s="5" t="n">
        <f aca="false">(A14*B14*C14*D14*E14/(1+D14*E14)+C14*(C14-F14*G14))*H14</f>
        <v>-0.00496277915632755</v>
      </c>
      <c r="J14" s="0" t="n">
        <f aca="false">EXP(I14)</f>
        <v>0.995049515085872</v>
      </c>
      <c r="K14" s="5" t="n">
        <f aca="false">IF(OR(J14&gt;1.05,J14&lt;0.95),1,0)</f>
        <v>0</v>
      </c>
    </row>
    <row r="15" customFormat="false" ht="13.8" hidden="false" customHeight="false" outlineLevel="0" collapsed="false">
      <c r="A15" s="0" t="n">
        <v>0.5</v>
      </c>
      <c r="B15" s="0" t="n">
        <v>0.1</v>
      </c>
      <c r="C15" s="0" t="n">
        <v>0.1</v>
      </c>
      <c r="D15" s="0" t="n">
        <v>0.25</v>
      </c>
      <c r="E15" s="0" t="n">
        <v>0.03</v>
      </c>
      <c r="F15" s="0" t="n">
        <v>0.3</v>
      </c>
      <c r="G15" s="0" t="n">
        <v>0.5</v>
      </c>
      <c r="H15" s="0" t="n">
        <v>10</v>
      </c>
      <c r="I15" s="5" t="n">
        <f aca="false">(A15*B15*C15*D15*E15/(1+D15*E15)+C15*(C15-F15*G15))*H15</f>
        <v>-0.0496277915632755</v>
      </c>
      <c r="J15" s="0" t="n">
        <f aca="false">EXP(I15)</f>
        <v>0.951583546017194</v>
      </c>
      <c r="K15" s="5" t="n">
        <f aca="false">IF(OR(J15&gt;1.05,J15&lt;0.95),1,0)</f>
        <v>0</v>
      </c>
    </row>
    <row r="16" customFormat="false" ht="13.8" hidden="false" customHeight="false" outlineLevel="0" collapsed="false">
      <c r="A16" s="0" t="n">
        <v>0.5</v>
      </c>
      <c r="B16" s="0" t="n">
        <v>0.1</v>
      </c>
      <c r="C16" s="0" t="n">
        <v>0.1</v>
      </c>
      <c r="D16" s="0" t="n">
        <v>0.25</v>
      </c>
      <c r="E16" s="0" t="n">
        <v>0.03</v>
      </c>
      <c r="F16" s="0" t="n">
        <v>0.3</v>
      </c>
      <c r="G16" s="0" t="n">
        <v>0.9</v>
      </c>
      <c r="H16" s="0" t="n">
        <v>1</v>
      </c>
      <c r="I16" s="5" t="n">
        <f aca="false">(A16*B16*C16*D16*E16/(1+D16*E16)+C16*(C16-F16*G16))*H16</f>
        <v>-0.0169627791563276</v>
      </c>
      <c r="J16" s="0" t="n">
        <f aca="false">EXP(I16)</f>
        <v>0.983180278753331</v>
      </c>
      <c r="K16" s="5" t="n">
        <f aca="false">IF(OR(J16&gt;1.05,J16&lt;0.95),1,0)</f>
        <v>0</v>
      </c>
    </row>
    <row r="17" customFormat="false" ht="13.8" hidden="false" customHeight="false" outlineLevel="0" collapsed="false">
      <c r="A17" s="0" t="n">
        <v>0.5</v>
      </c>
      <c r="B17" s="0" t="n">
        <v>0.1</v>
      </c>
      <c r="C17" s="0" t="n">
        <v>0.1</v>
      </c>
      <c r="D17" s="0" t="n">
        <v>0.25</v>
      </c>
      <c r="E17" s="0" t="n">
        <v>0.03</v>
      </c>
      <c r="F17" s="0" t="n">
        <v>0.3</v>
      </c>
      <c r="G17" s="0" t="n">
        <v>0.9</v>
      </c>
      <c r="H17" s="0" t="n">
        <v>10</v>
      </c>
      <c r="I17" s="5" t="n">
        <f aca="false">(A17*B17*C17*D17*E17/(1+D17*E17)+C17*(C17-F17*G17))*H17</f>
        <v>-0.169627791563276</v>
      </c>
      <c r="J17" s="0" t="n">
        <f aca="false">EXP(I17)</f>
        <v>0.843978894206431</v>
      </c>
      <c r="K17" s="5" t="n">
        <f aca="false">IF(OR(J17&gt;1.05,J17&lt;0.95),1,0)</f>
        <v>1</v>
      </c>
    </row>
    <row r="18" customFormat="false" ht="13.8" hidden="false" customHeight="false" outlineLevel="0" collapsed="false">
      <c r="A18" s="0" t="n">
        <v>0.5</v>
      </c>
      <c r="B18" s="0" t="n">
        <v>0.1</v>
      </c>
      <c r="C18" s="0" t="n">
        <v>0.1</v>
      </c>
      <c r="D18" s="0" t="n">
        <v>0.25</v>
      </c>
      <c r="E18" s="0" t="n">
        <v>0.15</v>
      </c>
      <c r="F18" s="0" t="n">
        <v>0.1</v>
      </c>
      <c r="G18" s="0" t="n">
        <v>0.5</v>
      </c>
      <c r="H18" s="0" t="n">
        <v>1</v>
      </c>
      <c r="I18" s="5" t="n">
        <f aca="false">(A18*B18*C18*D18*E18/(1+D18*E18)+C18*(C18-F18*G18))*H18</f>
        <v>0.00518072289156627</v>
      </c>
      <c r="J18" s="0" t="n">
        <f aca="false">EXP(I18)</f>
        <v>1.00519416604146</v>
      </c>
      <c r="K18" s="5" t="n">
        <f aca="false">IF(OR(J18&gt;1.05,J18&lt;0.95),1,0)</f>
        <v>0</v>
      </c>
    </row>
    <row r="19" customFormat="false" ht="13.8" hidden="false" customHeight="false" outlineLevel="0" collapsed="false">
      <c r="A19" s="0" t="n">
        <v>0.5</v>
      </c>
      <c r="B19" s="0" t="n">
        <v>0.1</v>
      </c>
      <c r="C19" s="0" t="n">
        <v>0.1</v>
      </c>
      <c r="D19" s="0" t="n">
        <v>0.25</v>
      </c>
      <c r="E19" s="0" t="n">
        <v>0.15</v>
      </c>
      <c r="F19" s="0" t="n">
        <v>0.1</v>
      </c>
      <c r="G19" s="0" t="n">
        <v>0.5</v>
      </c>
      <c r="H19" s="0" t="n">
        <v>10</v>
      </c>
      <c r="I19" s="5" t="n">
        <f aca="false">(A19*B19*C19*D19*E19/(1+D19*E19)+C19*(C19-F19*G19))*H19</f>
        <v>0.0518072289156627</v>
      </c>
      <c r="J19" s="0" t="n">
        <f aca="false">EXP(I19)</f>
        <v>1.05317270170009</v>
      </c>
      <c r="K19" s="5" t="n">
        <f aca="false">IF(OR(J19&gt;1.05,J19&lt;0.95),1,0)</f>
        <v>1</v>
      </c>
    </row>
    <row r="20" customFormat="false" ht="13.8" hidden="false" customHeight="false" outlineLevel="0" collapsed="false">
      <c r="A20" s="0" t="n">
        <v>0.5</v>
      </c>
      <c r="B20" s="0" t="n">
        <v>0.1</v>
      </c>
      <c r="C20" s="0" t="n">
        <v>0.1</v>
      </c>
      <c r="D20" s="0" t="n">
        <v>0.25</v>
      </c>
      <c r="E20" s="0" t="n">
        <v>0.15</v>
      </c>
      <c r="F20" s="0" t="n">
        <v>0.1</v>
      </c>
      <c r="G20" s="0" t="n">
        <v>0.9</v>
      </c>
      <c r="H20" s="0" t="n">
        <v>1</v>
      </c>
      <c r="I20" s="5" t="n">
        <f aca="false">(A20*B20*C20*D20*E20/(1+D20*E20)+C20*(C20-F20*G20))*H20</f>
        <v>0.00118072289156626</v>
      </c>
      <c r="J20" s="0" t="n">
        <f aca="false">EXP(I20)</f>
        <v>1.00118142021926</v>
      </c>
      <c r="K20" s="5" t="n">
        <f aca="false">IF(OR(J20&gt;1.05,J20&lt;0.95),1,0)</f>
        <v>0</v>
      </c>
    </row>
    <row r="21" customFormat="false" ht="13.8" hidden="false" customHeight="false" outlineLevel="0" collapsed="false">
      <c r="A21" s="0" t="n">
        <v>0.5</v>
      </c>
      <c r="B21" s="0" t="n">
        <v>0.1</v>
      </c>
      <c r="C21" s="0" t="n">
        <v>0.1</v>
      </c>
      <c r="D21" s="0" t="n">
        <v>0.25</v>
      </c>
      <c r="E21" s="0" t="n">
        <v>0.15</v>
      </c>
      <c r="F21" s="0" t="n">
        <v>0.1</v>
      </c>
      <c r="G21" s="0" t="n">
        <v>0.9</v>
      </c>
      <c r="H21" s="0" t="n">
        <v>10</v>
      </c>
      <c r="I21" s="5" t="n">
        <f aca="false">(A21*B21*C21*D21*E21/(1+D21*E21)+C21*(C21-F21*G21))*H21</f>
        <v>0.0118072289156626</v>
      </c>
      <c r="J21" s="0" t="n">
        <f aca="false">EXP(I21)</f>
        <v>1.01187720939697</v>
      </c>
      <c r="K21" s="5" t="n">
        <f aca="false">IF(OR(J21&gt;1.05,J21&lt;0.95),1,0)</f>
        <v>0</v>
      </c>
    </row>
    <row r="22" customFormat="false" ht="13.8" hidden="false" customHeight="false" outlineLevel="0" collapsed="false">
      <c r="A22" s="0" t="n">
        <v>0.5</v>
      </c>
      <c r="B22" s="0" t="n">
        <v>0.1</v>
      </c>
      <c r="C22" s="0" t="n">
        <v>0.1</v>
      </c>
      <c r="D22" s="0" t="n">
        <v>0.25</v>
      </c>
      <c r="E22" s="0" t="n">
        <v>0.15</v>
      </c>
      <c r="F22" s="0" t="n">
        <v>0.3</v>
      </c>
      <c r="G22" s="0" t="n">
        <v>0.5</v>
      </c>
      <c r="H22" s="0" t="n">
        <v>1</v>
      </c>
      <c r="I22" s="5" t="n">
        <f aca="false">(A22*B22*C22*D22*E22/(1+D22*E22)+C22*(C22-F22*G22))*H22</f>
        <v>-0.00481927710843374</v>
      </c>
      <c r="J22" s="0" t="n">
        <f aca="false">EXP(I22)</f>
        <v>0.995192316974979</v>
      </c>
      <c r="K22" s="5" t="n">
        <f aca="false">IF(OR(J22&gt;1.05,J22&lt;0.95),1,0)</f>
        <v>0</v>
      </c>
    </row>
    <row r="23" customFormat="false" ht="13.8" hidden="false" customHeight="false" outlineLevel="0" collapsed="false">
      <c r="A23" s="0" t="n">
        <v>0.5</v>
      </c>
      <c r="B23" s="0" t="n">
        <v>0.1</v>
      </c>
      <c r="C23" s="0" t="n">
        <v>0.1</v>
      </c>
      <c r="D23" s="0" t="n">
        <v>0.25</v>
      </c>
      <c r="E23" s="0" t="n">
        <v>0.15</v>
      </c>
      <c r="F23" s="0" t="n">
        <v>0.3</v>
      </c>
      <c r="G23" s="0" t="n">
        <v>0.5</v>
      </c>
      <c r="H23" s="0" t="n">
        <v>10</v>
      </c>
      <c r="I23" s="5" t="n">
        <f aca="false">(A23*B23*C23*D23*E23/(1+D23*E23)+C23*(C23-F23*G23))*H23</f>
        <v>-0.0481927710843374</v>
      </c>
      <c r="J23" s="0" t="n">
        <f aca="false">EXP(I23)</f>
        <v>0.952950068152268</v>
      </c>
      <c r="K23" s="5" t="n">
        <f aca="false">IF(OR(J23&gt;1.05,J23&lt;0.95),1,0)</f>
        <v>0</v>
      </c>
    </row>
    <row r="24" customFormat="false" ht="13.8" hidden="false" customHeight="false" outlineLevel="0" collapsed="false">
      <c r="A24" s="0" t="n">
        <v>0.5</v>
      </c>
      <c r="B24" s="0" t="n">
        <v>0.1</v>
      </c>
      <c r="C24" s="0" t="n">
        <v>0.1</v>
      </c>
      <c r="D24" s="0" t="n">
        <v>0.25</v>
      </c>
      <c r="E24" s="0" t="n">
        <v>0.15</v>
      </c>
      <c r="F24" s="0" t="n">
        <v>0.3</v>
      </c>
      <c r="G24" s="0" t="n">
        <v>0.9</v>
      </c>
      <c r="H24" s="0" t="n">
        <v>1</v>
      </c>
      <c r="I24" s="5" t="n">
        <f aca="false">(A24*B24*C24*D24*E24/(1+D24*E24)+C24*(C24-F24*G24))*H24</f>
        <v>-0.0168192771084337</v>
      </c>
      <c r="J24" s="0" t="n">
        <f aca="false">EXP(I24)</f>
        <v>0.983321377260501</v>
      </c>
      <c r="K24" s="5" t="n">
        <f aca="false">IF(OR(J24&gt;1.05,J24&lt;0.95),1,0)</f>
        <v>0</v>
      </c>
    </row>
    <row r="25" customFormat="false" ht="13.8" hidden="false" customHeight="false" outlineLevel="0" collapsed="false">
      <c r="A25" s="0" t="n">
        <v>0.5</v>
      </c>
      <c r="B25" s="0" t="n">
        <v>0.1</v>
      </c>
      <c r="C25" s="0" t="n">
        <v>0.1</v>
      </c>
      <c r="D25" s="0" t="n">
        <v>0.25</v>
      </c>
      <c r="E25" s="0" t="n">
        <v>0.15</v>
      </c>
      <c r="F25" s="0" t="n">
        <v>0.3</v>
      </c>
      <c r="G25" s="0" t="n">
        <v>0.9</v>
      </c>
      <c r="H25" s="0" t="n">
        <v>10</v>
      </c>
      <c r="I25" s="5" t="n">
        <f aca="false">(A25*B25*C25*D25*E25/(1+D25*E25)+C25*(C25-F25*G25))*H25</f>
        <v>-0.168192771084337</v>
      </c>
      <c r="J25" s="0" t="n">
        <f aca="false">EXP(I25)</f>
        <v>0.845190890615255</v>
      </c>
      <c r="K25" s="5" t="n">
        <f aca="false">IF(OR(J25&gt;1.05,J25&lt;0.95),1,0)</f>
        <v>1</v>
      </c>
    </row>
    <row r="26" customFormat="false" ht="13.8" hidden="false" customHeight="false" outlineLevel="0" collapsed="false">
      <c r="A26" s="0" t="n">
        <v>0.5</v>
      </c>
      <c r="B26" s="0" t="n">
        <v>0.1</v>
      </c>
      <c r="C26" s="0" t="n">
        <v>0.3</v>
      </c>
      <c r="D26" s="0" t="n">
        <v>0.25</v>
      </c>
      <c r="E26" s="0" t="n">
        <v>0.03</v>
      </c>
      <c r="F26" s="0" t="n">
        <v>0.1</v>
      </c>
      <c r="G26" s="0" t="n">
        <v>0.5</v>
      </c>
      <c r="H26" s="0" t="n">
        <v>1</v>
      </c>
      <c r="I26" s="5" t="n">
        <f aca="false">(A26*B26*C26*D26*E26/(1+D26*E26)+C26*(C26-F26*G26))*H26</f>
        <v>0.0751116625310174</v>
      </c>
      <c r="J26" s="0" t="n">
        <f aca="false">EXP(I26)</f>
        <v>1.07800451687712</v>
      </c>
      <c r="K26" s="5" t="n">
        <f aca="false">IF(OR(J26&gt;1.05,J26&lt;0.95),1,0)</f>
        <v>1</v>
      </c>
    </row>
    <row r="27" customFormat="false" ht="13.8" hidden="false" customHeight="false" outlineLevel="0" collapsed="false">
      <c r="A27" s="0" t="n">
        <v>0.5</v>
      </c>
      <c r="B27" s="0" t="n">
        <v>0.1</v>
      </c>
      <c r="C27" s="0" t="n">
        <v>0.3</v>
      </c>
      <c r="D27" s="0" t="n">
        <v>0.25</v>
      </c>
      <c r="E27" s="0" t="n">
        <v>0.03</v>
      </c>
      <c r="F27" s="0" t="n">
        <v>0.1</v>
      </c>
      <c r="G27" s="0" t="n">
        <v>0.5</v>
      </c>
      <c r="H27" s="0" t="n">
        <v>10</v>
      </c>
      <c r="I27" s="5" t="n">
        <f aca="false">(A27*B27*C27*D27*E27/(1+D27*E27)+C27*(C27-F27*G27))*H27</f>
        <v>0.751116625310174</v>
      </c>
      <c r="J27" s="0" t="n">
        <f aca="false">EXP(I27)</f>
        <v>2.11936523269718</v>
      </c>
      <c r="K27" s="5" t="n">
        <f aca="false">IF(OR(J27&gt;1.05,J27&lt;0.95),1,0)</f>
        <v>1</v>
      </c>
    </row>
    <row r="28" customFormat="false" ht="13.8" hidden="false" customHeight="false" outlineLevel="0" collapsed="false">
      <c r="A28" s="0" t="n">
        <v>0.5</v>
      </c>
      <c r="B28" s="0" t="n">
        <v>0.1</v>
      </c>
      <c r="C28" s="0" t="n">
        <v>0.3</v>
      </c>
      <c r="D28" s="0" t="n">
        <v>0.25</v>
      </c>
      <c r="E28" s="0" t="n">
        <v>0.03</v>
      </c>
      <c r="F28" s="0" t="n">
        <v>0.1</v>
      </c>
      <c r="G28" s="0" t="n">
        <v>0.9</v>
      </c>
      <c r="H28" s="0" t="n">
        <v>1</v>
      </c>
      <c r="I28" s="5" t="n">
        <f aca="false">(A28*B28*C28*D28*E28/(1+D28*E28)+C28*(C28-F28*G28))*H28</f>
        <v>0.0631116625310174</v>
      </c>
      <c r="J28" s="0" t="n">
        <f aca="false">EXP(I28)</f>
        <v>1.06514576946368</v>
      </c>
      <c r="K28" s="5" t="n">
        <f aca="false">IF(OR(J28&gt;1.05,J28&lt;0.95),1,0)</f>
        <v>1</v>
      </c>
    </row>
    <row r="29" customFormat="false" ht="13.8" hidden="false" customHeight="false" outlineLevel="0" collapsed="false">
      <c r="A29" s="0" t="n">
        <v>0.5</v>
      </c>
      <c r="B29" s="0" t="n">
        <v>0.1</v>
      </c>
      <c r="C29" s="0" t="n">
        <v>0.3</v>
      </c>
      <c r="D29" s="0" t="n">
        <v>0.25</v>
      </c>
      <c r="E29" s="0" t="n">
        <v>0.03</v>
      </c>
      <c r="F29" s="0" t="n">
        <v>0.1</v>
      </c>
      <c r="G29" s="0" t="n">
        <v>0.9</v>
      </c>
      <c r="H29" s="0" t="n">
        <v>10</v>
      </c>
      <c r="I29" s="5" t="n">
        <f aca="false">(A29*B29*C29*D29*E29/(1+D29*E29)+C29*(C29-F29*G29))*H29</f>
        <v>0.631116625310174</v>
      </c>
      <c r="J29" s="0" t="n">
        <f aca="false">EXP(I29)</f>
        <v>1.87970833774694</v>
      </c>
      <c r="K29" s="5" t="n">
        <f aca="false">IF(OR(J29&gt;1.05,J29&lt;0.95),1,0)</f>
        <v>1</v>
      </c>
    </row>
    <row r="30" customFormat="false" ht="13.8" hidden="false" customHeight="false" outlineLevel="0" collapsed="false">
      <c r="A30" s="0" t="n">
        <v>0.5</v>
      </c>
      <c r="B30" s="0" t="n">
        <v>0.1</v>
      </c>
      <c r="C30" s="0" t="n">
        <v>0.3</v>
      </c>
      <c r="D30" s="0" t="n">
        <v>0.25</v>
      </c>
      <c r="E30" s="0" t="n">
        <v>0.03</v>
      </c>
      <c r="F30" s="0" t="n">
        <v>0.3</v>
      </c>
      <c r="G30" s="0" t="n">
        <v>0.5</v>
      </c>
      <c r="H30" s="0" t="n">
        <v>1</v>
      </c>
      <c r="I30" s="5" t="n">
        <f aca="false">(A30*B30*C30*D30*E30/(1+D30*E30)+C30*(C30-F30*G30))*H30</f>
        <v>0.0451116625310174</v>
      </c>
      <c r="J30" s="0" t="n">
        <f aca="false">EXP(I30)</f>
        <v>1.04614466854852</v>
      </c>
      <c r="K30" s="5" t="n">
        <f aca="false">IF(OR(J30&gt;1.05,J30&lt;0.95),1,0)</f>
        <v>0</v>
      </c>
    </row>
    <row r="31" customFormat="false" ht="13.8" hidden="false" customHeight="false" outlineLevel="0" collapsed="false">
      <c r="A31" s="0" t="n">
        <v>0.5</v>
      </c>
      <c r="B31" s="0" t="n">
        <v>0.1</v>
      </c>
      <c r="C31" s="0" t="n">
        <v>0.3</v>
      </c>
      <c r="D31" s="0" t="n">
        <v>0.25</v>
      </c>
      <c r="E31" s="0" t="n">
        <v>0.03</v>
      </c>
      <c r="F31" s="0" t="n">
        <v>0.3</v>
      </c>
      <c r="G31" s="0" t="n">
        <v>0.5</v>
      </c>
      <c r="H31" s="0" t="n">
        <v>10</v>
      </c>
      <c r="I31" s="5" t="n">
        <f aca="false">(A31*B31*C31*D31*E31/(1+D31*E31)+C31*(C31-F31*G31))*H31</f>
        <v>0.451116625310174</v>
      </c>
      <c r="J31" s="0" t="n">
        <f aca="false">EXP(I31)</f>
        <v>1.57006438066142</v>
      </c>
      <c r="K31" s="5" t="n">
        <f aca="false">IF(OR(J31&gt;1.05,J31&lt;0.95),1,0)</f>
        <v>1</v>
      </c>
    </row>
    <row r="32" customFormat="false" ht="13.8" hidden="false" customHeight="false" outlineLevel="0" collapsed="false">
      <c r="A32" s="0" t="n">
        <v>0.5</v>
      </c>
      <c r="B32" s="0" t="n">
        <v>0.1</v>
      </c>
      <c r="C32" s="0" t="n">
        <v>0.3</v>
      </c>
      <c r="D32" s="0" t="n">
        <v>0.25</v>
      </c>
      <c r="E32" s="0" t="n">
        <v>0.03</v>
      </c>
      <c r="F32" s="0" t="n">
        <v>0.3</v>
      </c>
      <c r="G32" s="0" t="n">
        <v>0.9</v>
      </c>
      <c r="H32" s="0" t="n">
        <v>1</v>
      </c>
      <c r="I32" s="5" t="n">
        <f aca="false">(A32*B32*C32*D32*E32/(1+D32*E32)+C32*(C32-F32*G32))*H32</f>
        <v>0.00911166253101736</v>
      </c>
      <c r="J32" s="0" t="n">
        <f aca="false">EXP(I32)</f>
        <v>1.00915330009445</v>
      </c>
      <c r="K32" s="5" t="n">
        <f aca="false">IF(OR(J32&gt;1.05,J32&lt;0.95),1,0)</f>
        <v>0</v>
      </c>
    </row>
    <row r="33" customFormat="false" ht="13.8" hidden="false" customHeight="false" outlineLevel="0" collapsed="false">
      <c r="A33" s="0" t="n">
        <v>0.5</v>
      </c>
      <c r="B33" s="0" t="n">
        <v>0.1</v>
      </c>
      <c r="C33" s="0" t="n">
        <v>0.3</v>
      </c>
      <c r="D33" s="0" t="n">
        <v>0.25</v>
      </c>
      <c r="E33" s="0" t="n">
        <v>0.03</v>
      </c>
      <c r="F33" s="0" t="n">
        <v>0.3</v>
      </c>
      <c r="G33" s="0" t="n">
        <v>0.9</v>
      </c>
      <c r="H33" s="0" t="n">
        <v>10</v>
      </c>
      <c r="I33" s="5" t="n">
        <f aca="false">(A33*B33*C33*D33*E33/(1+D33*E33)+C33*(C33-F33*G33))*H33</f>
        <v>0.0911166253101736</v>
      </c>
      <c r="J33" s="0" t="n">
        <f aca="false">EXP(I33)</f>
        <v>1.09539674879485</v>
      </c>
      <c r="K33" s="5" t="n">
        <f aca="false">IF(OR(J33&gt;1.05,J33&lt;0.95),1,0)</f>
        <v>1</v>
      </c>
    </row>
    <row r="34" customFormat="false" ht="13.8" hidden="false" customHeight="false" outlineLevel="0" collapsed="false">
      <c r="A34" s="0" t="n">
        <v>0.5</v>
      </c>
      <c r="B34" s="0" t="n">
        <v>0.1</v>
      </c>
      <c r="C34" s="0" t="n">
        <v>0.3</v>
      </c>
      <c r="D34" s="0" t="n">
        <v>0.25</v>
      </c>
      <c r="E34" s="0" t="n">
        <v>0.15</v>
      </c>
      <c r="F34" s="0" t="n">
        <v>0.1</v>
      </c>
      <c r="G34" s="0" t="n">
        <v>0.5</v>
      </c>
      <c r="H34" s="0" t="n">
        <v>1</v>
      </c>
      <c r="I34" s="5" t="n">
        <f aca="false">(A34*B34*C34*D34*E34/(1+D34*E34)+C34*(C34-F34*G34))*H34</f>
        <v>0.0755421686746988</v>
      </c>
      <c r="J34" s="0" t="n">
        <f aca="false">EXP(I34)</f>
        <v>1.07846870435517</v>
      </c>
      <c r="K34" s="5" t="n">
        <f aca="false">IF(OR(J34&gt;1.05,J34&lt;0.95),1,0)</f>
        <v>1</v>
      </c>
    </row>
    <row r="35" customFormat="false" ht="13.8" hidden="false" customHeight="false" outlineLevel="0" collapsed="false">
      <c r="A35" s="0" t="n">
        <v>0.5</v>
      </c>
      <c r="B35" s="0" t="n">
        <v>0.1</v>
      </c>
      <c r="C35" s="0" t="n">
        <v>0.3</v>
      </c>
      <c r="D35" s="0" t="n">
        <v>0.25</v>
      </c>
      <c r="E35" s="0" t="n">
        <v>0.15</v>
      </c>
      <c r="F35" s="0" t="n">
        <v>0.1</v>
      </c>
      <c r="G35" s="0" t="n">
        <v>0.5</v>
      </c>
      <c r="H35" s="0" t="n">
        <v>10</v>
      </c>
      <c r="I35" s="5" t="n">
        <f aca="false">(A35*B35*C35*D35*E35/(1+D35*E35)+C35*(C35-F35*G35))*H35</f>
        <v>0.755421686746988</v>
      </c>
      <c r="J35" s="0" t="n">
        <f aca="false">EXP(I35)</f>
        <v>2.12850889812966</v>
      </c>
      <c r="K35" s="5" t="n">
        <f aca="false">IF(OR(J35&gt;1.05,J35&lt;0.95),1,0)</f>
        <v>1</v>
      </c>
    </row>
    <row r="36" customFormat="false" ht="13.8" hidden="false" customHeight="false" outlineLevel="0" collapsed="false">
      <c r="A36" s="0" t="n">
        <v>0.5</v>
      </c>
      <c r="B36" s="0" t="n">
        <v>0.1</v>
      </c>
      <c r="C36" s="0" t="n">
        <v>0.3</v>
      </c>
      <c r="D36" s="0" t="n">
        <v>0.25</v>
      </c>
      <c r="E36" s="0" t="n">
        <v>0.15</v>
      </c>
      <c r="F36" s="0" t="n">
        <v>0.1</v>
      </c>
      <c r="G36" s="0" t="n">
        <v>0.9</v>
      </c>
      <c r="H36" s="0" t="n">
        <v>1</v>
      </c>
      <c r="I36" s="5" t="n">
        <f aca="false">(A36*B36*C36*D36*E36/(1+D36*E36)+C36*(C36-F36*G36))*H36</f>
        <v>0.0635421686746988</v>
      </c>
      <c r="J36" s="0" t="n">
        <f aca="false">EXP(I36)</f>
        <v>1.0656044199802</v>
      </c>
      <c r="K36" s="5" t="n">
        <f aca="false">IF(OR(J36&gt;1.05,J36&lt;0.95),1,0)</f>
        <v>1</v>
      </c>
    </row>
    <row r="37" customFormat="false" ht="13.8" hidden="false" customHeight="false" outlineLevel="0" collapsed="false">
      <c r="A37" s="0" t="n">
        <v>0.5</v>
      </c>
      <c r="B37" s="0" t="n">
        <v>0.1</v>
      </c>
      <c r="C37" s="0" t="n">
        <v>0.3</v>
      </c>
      <c r="D37" s="0" t="n">
        <v>0.25</v>
      </c>
      <c r="E37" s="0" t="n">
        <v>0.15</v>
      </c>
      <c r="F37" s="0" t="n">
        <v>0.1</v>
      </c>
      <c r="G37" s="0" t="n">
        <v>0.9</v>
      </c>
      <c r="H37" s="0" t="n">
        <v>10</v>
      </c>
      <c r="I37" s="5" t="n">
        <f aca="false">(A37*B37*C37*D37*E37/(1+D37*E37)+C37*(C37-F37*G37))*H37</f>
        <v>0.635421686746988</v>
      </c>
      <c r="J37" s="0" t="n">
        <f aca="false">EXP(I37)</f>
        <v>1.88781804148552</v>
      </c>
      <c r="K37" s="5" t="n">
        <f aca="false">IF(OR(J37&gt;1.05,J37&lt;0.95),1,0)</f>
        <v>1</v>
      </c>
    </row>
    <row r="38" customFormat="false" ht="13.8" hidden="false" customHeight="false" outlineLevel="0" collapsed="false">
      <c r="A38" s="0" t="n">
        <v>0.5</v>
      </c>
      <c r="B38" s="0" t="n">
        <v>0.1</v>
      </c>
      <c r="C38" s="0" t="n">
        <v>0.3</v>
      </c>
      <c r="D38" s="0" t="n">
        <v>0.25</v>
      </c>
      <c r="E38" s="0" t="n">
        <v>0.15</v>
      </c>
      <c r="F38" s="0" t="n">
        <v>0.3</v>
      </c>
      <c r="G38" s="0" t="n">
        <v>0.5</v>
      </c>
      <c r="H38" s="0" t="n">
        <v>1</v>
      </c>
      <c r="I38" s="5" t="n">
        <f aca="false">(A38*B38*C38*D38*E38/(1+D38*E38)+C38*(C38-F38*G38))*H38</f>
        <v>0.0455421686746988</v>
      </c>
      <c r="J38" s="0" t="n">
        <f aca="false">EXP(I38)</f>
        <v>1.04659513721332</v>
      </c>
      <c r="K38" s="5" t="n">
        <f aca="false">IF(OR(J38&gt;1.05,J38&lt;0.95),1,0)</f>
        <v>0</v>
      </c>
    </row>
    <row r="39" customFormat="false" ht="13.8" hidden="false" customHeight="false" outlineLevel="0" collapsed="false">
      <c r="A39" s="0" t="n">
        <v>0.5</v>
      </c>
      <c r="B39" s="0" t="n">
        <v>0.1</v>
      </c>
      <c r="C39" s="0" t="n">
        <v>0.3</v>
      </c>
      <c r="D39" s="0" t="n">
        <v>0.25</v>
      </c>
      <c r="E39" s="0" t="n">
        <v>0.15</v>
      </c>
      <c r="F39" s="0" t="n">
        <v>0.3</v>
      </c>
      <c r="G39" s="0" t="n">
        <v>0.5</v>
      </c>
      <c r="H39" s="0" t="n">
        <v>10</v>
      </c>
      <c r="I39" s="5" t="n">
        <f aca="false">(A39*B39*C39*D39*E39/(1+D39*E39)+C39*(C39-F39*G39))*H39</f>
        <v>0.455421686746988</v>
      </c>
      <c r="J39" s="0" t="n">
        <f aca="false">EXP(I39)</f>
        <v>1.57683817461762</v>
      </c>
      <c r="K39" s="5" t="n">
        <f aca="false">IF(OR(J39&gt;1.05,J39&lt;0.95),1,0)</f>
        <v>1</v>
      </c>
    </row>
    <row r="40" customFormat="false" ht="13.8" hidden="false" customHeight="false" outlineLevel="0" collapsed="false">
      <c r="A40" s="0" t="n">
        <v>0.5</v>
      </c>
      <c r="B40" s="0" t="n">
        <v>0.1</v>
      </c>
      <c r="C40" s="0" t="n">
        <v>0.3</v>
      </c>
      <c r="D40" s="0" t="n">
        <v>0.25</v>
      </c>
      <c r="E40" s="0" t="n">
        <v>0.15</v>
      </c>
      <c r="F40" s="0" t="n">
        <v>0.3</v>
      </c>
      <c r="G40" s="0" t="n">
        <v>0.9</v>
      </c>
      <c r="H40" s="0" t="n">
        <v>1</v>
      </c>
      <c r="I40" s="5" t="n">
        <f aca="false">(A40*B40*C40*D40*E40/(1+D40*E40)+C40*(C40-F40*G40))*H40</f>
        <v>0.00954216867469879</v>
      </c>
      <c r="J40" s="0" t="n">
        <f aca="false">EXP(I40)</f>
        <v>1.00958784031946</v>
      </c>
      <c r="K40" s="5" t="n">
        <f aca="false">IF(OR(J40&gt;1.05,J40&lt;0.95),1,0)</f>
        <v>0</v>
      </c>
    </row>
    <row r="41" customFormat="false" ht="13.8" hidden="false" customHeight="false" outlineLevel="0" collapsed="false">
      <c r="A41" s="0" t="n">
        <v>0.5</v>
      </c>
      <c r="B41" s="0" t="n">
        <v>0.1</v>
      </c>
      <c r="C41" s="0" t="n">
        <v>0.3</v>
      </c>
      <c r="D41" s="0" t="n">
        <v>0.25</v>
      </c>
      <c r="E41" s="0" t="n">
        <v>0.15</v>
      </c>
      <c r="F41" s="0" t="n">
        <v>0.3</v>
      </c>
      <c r="G41" s="0" t="n">
        <v>0.9</v>
      </c>
      <c r="H41" s="0" t="n">
        <v>10</v>
      </c>
      <c r="I41" s="5" t="n">
        <f aca="false">(A41*B41*C41*D41*E41/(1+D41*E41)+C41*(C41-F41*G41))*H41</f>
        <v>0.0954216867469879</v>
      </c>
      <c r="J41" s="0" t="n">
        <f aca="false">EXP(I41)</f>
        <v>1.10012266447577</v>
      </c>
      <c r="K41" s="5" t="n">
        <f aca="false">IF(OR(J41&gt;1.05,J41&lt;0.95),1,0)</f>
        <v>1</v>
      </c>
    </row>
    <row r="42" customFormat="false" ht="13.8" hidden="false" customHeight="false" outlineLevel="0" collapsed="false">
      <c r="A42" s="0" t="n">
        <v>0.5</v>
      </c>
      <c r="B42" s="0" t="n">
        <v>0.3</v>
      </c>
      <c r="C42" s="0" t="n">
        <v>0.1</v>
      </c>
      <c r="D42" s="0" t="n">
        <v>0.25</v>
      </c>
      <c r="E42" s="0" t="n">
        <v>0.03</v>
      </c>
      <c r="F42" s="0" t="n">
        <v>0.1</v>
      </c>
      <c r="G42" s="0" t="n">
        <v>0.5</v>
      </c>
      <c r="H42" s="0" t="n">
        <v>1</v>
      </c>
      <c r="I42" s="5" t="n">
        <f aca="false">(A42*B42*C42*D42*E42/(1+D42*E42)+C42*(C42-F42*G42))*H42</f>
        <v>0.00511166253101737</v>
      </c>
      <c r="J42" s="0" t="n">
        <f aca="false">EXP(I42)</f>
        <v>1.00512474936693</v>
      </c>
      <c r="K42" s="5" t="n">
        <f aca="false">IF(OR(J42&gt;1.05,J42&lt;0.95),1,0)</f>
        <v>0</v>
      </c>
    </row>
    <row r="43" customFormat="false" ht="13.8" hidden="false" customHeight="false" outlineLevel="0" collapsed="false">
      <c r="A43" s="0" t="n">
        <v>0.5</v>
      </c>
      <c r="B43" s="0" t="n">
        <v>0.3</v>
      </c>
      <c r="C43" s="0" t="n">
        <v>0.1</v>
      </c>
      <c r="D43" s="0" t="n">
        <v>0.25</v>
      </c>
      <c r="E43" s="0" t="n">
        <v>0.03</v>
      </c>
      <c r="F43" s="0" t="n">
        <v>0.1</v>
      </c>
      <c r="G43" s="0" t="n">
        <v>0.5</v>
      </c>
      <c r="H43" s="0" t="n">
        <v>10</v>
      </c>
      <c r="I43" s="5" t="n">
        <f aca="false">(A43*B43*C43*D43*E43/(1+D43*E43)+C43*(C43-F43*G43))*H43</f>
        <v>0.0511166253101737</v>
      </c>
      <c r="J43" s="0" t="n">
        <f aca="false">EXP(I43)</f>
        <v>1.05244562792388</v>
      </c>
      <c r="K43" s="5" t="n">
        <f aca="false">IF(OR(J43&gt;1.05,J43&lt;0.95),1,0)</f>
        <v>1</v>
      </c>
    </row>
    <row r="44" customFormat="false" ht="13.8" hidden="false" customHeight="false" outlineLevel="0" collapsed="false">
      <c r="A44" s="0" t="n">
        <v>0.5</v>
      </c>
      <c r="B44" s="0" t="n">
        <v>0.3</v>
      </c>
      <c r="C44" s="0" t="n">
        <v>0.1</v>
      </c>
      <c r="D44" s="0" t="n">
        <v>0.25</v>
      </c>
      <c r="E44" s="0" t="n">
        <v>0.03</v>
      </c>
      <c r="F44" s="0" t="n">
        <v>0.1</v>
      </c>
      <c r="G44" s="0" t="n">
        <v>0.9</v>
      </c>
      <c r="H44" s="0" t="n">
        <v>1</v>
      </c>
      <c r="I44" s="5" t="n">
        <f aca="false">(A44*B44*C44*D44*E44/(1+D44*E44)+C44*(C44-F44*G44))*H44</f>
        <v>0.00111166253101737</v>
      </c>
      <c r="J44" s="0" t="n">
        <f aca="false">EXP(I44)</f>
        <v>1.00111228065684</v>
      </c>
      <c r="K44" s="5" t="n">
        <f aca="false">IF(OR(J44&gt;1.05,J44&lt;0.95),1,0)</f>
        <v>0</v>
      </c>
    </row>
    <row r="45" customFormat="false" ht="13.8" hidden="false" customHeight="false" outlineLevel="0" collapsed="false">
      <c r="A45" s="0" t="n">
        <v>0.5</v>
      </c>
      <c r="B45" s="0" t="n">
        <v>0.3</v>
      </c>
      <c r="C45" s="0" t="n">
        <v>0.1</v>
      </c>
      <c r="D45" s="0" t="n">
        <v>0.25</v>
      </c>
      <c r="E45" s="0" t="n">
        <v>0.03</v>
      </c>
      <c r="F45" s="0" t="n">
        <v>0.1</v>
      </c>
      <c r="G45" s="0" t="n">
        <v>0.9</v>
      </c>
      <c r="H45" s="0" t="n">
        <v>10</v>
      </c>
      <c r="I45" s="5" t="n">
        <f aca="false">(A45*B45*C45*D45*E45/(1+D45*E45)+C45*(C45-F45*G45))*H45</f>
        <v>0.0111166253101737</v>
      </c>
      <c r="J45" s="0" t="n">
        <f aca="false">EXP(I45)</f>
        <v>1.0111786445913</v>
      </c>
      <c r="K45" s="5" t="n">
        <f aca="false">IF(OR(J45&gt;1.05,J45&lt;0.95),1,0)</f>
        <v>0</v>
      </c>
    </row>
    <row r="46" customFormat="false" ht="13.8" hidden="false" customHeight="false" outlineLevel="0" collapsed="false">
      <c r="A46" s="0" t="n">
        <v>0.5</v>
      </c>
      <c r="B46" s="0" t="n">
        <v>0.3</v>
      </c>
      <c r="C46" s="0" t="n">
        <v>0.1</v>
      </c>
      <c r="D46" s="0" t="n">
        <v>0.25</v>
      </c>
      <c r="E46" s="0" t="n">
        <v>0.03</v>
      </c>
      <c r="F46" s="0" t="n">
        <v>0.3</v>
      </c>
      <c r="G46" s="0" t="n">
        <v>0.5</v>
      </c>
      <c r="H46" s="0" t="n">
        <v>1</v>
      </c>
      <c r="I46" s="5" t="n">
        <f aca="false">(A46*B46*C46*D46*E46/(1+D46*E46)+C46*(C46-F46*G46))*H46</f>
        <v>-0.00488833746898263</v>
      </c>
      <c r="J46" s="0" t="n">
        <f aca="false">EXP(I46)</f>
        <v>0.9951235910079</v>
      </c>
      <c r="K46" s="5" t="n">
        <f aca="false">IF(OR(J46&gt;1.05,J46&lt;0.95),1,0)</f>
        <v>0</v>
      </c>
    </row>
    <row r="47" customFormat="false" ht="13.8" hidden="false" customHeight="false" outlineLevel="0" collapsed="false">
      <c r="A47" s="0" t="n">
        <v>0.5</v>
      </c>
      <c r="B47" s="0" t="n">
        <v>0.3</v>
      </c>
      <c r="C47" s="0" t="n">
        <v>0.1</v>
      </c>
      <c r="D47" s="0" t="n">
        <v>0.25</v>
      </c>
      <c r="E47" s="0" t="n">
        <v>0.03</v>
      </c>
      <c r="F47" s="0" t="n">
        <v>0.3</v>
      </c>
      <c r="G47" s="0" t="n">
        <v>0.5</v>
      </c>
      <c r="H47" s="0" t="n">
        <v>10</v>
      </c>
      <c r="I47" s="5" t="n">
        <f aca="false">(A47*B47*C47*D47*E47/(1+D47*E47)+C47*(C47-F47*G47))*H47</f>
        <v>-0.0488833746898263</v>
      </c>
      <c r="J47" s="0" t="n">
        <f aca="false">EXP(I47)</f>
        <v>0.952292184593877</v>
      </c>
      <c r="K47" s="5" t="n">
        <f aca="false">IF(OR(J47&gt;1.05,J47&lt;0.95),1,0)</f>
        <v>0</v>
      </c>
    </row>
    <row r="48" customFormat="false" ht="13.8" hidden="false" customHeight="false" outlineLevel="0" collapsed="false">
      <c r="A48" s="0" t="n">
        <v>0.5</v>
      </c>
      <c r="B48" s="0" t="n">
        <v>0.3</v>
      </c>
      <c r="C48" s="0" t="n">
        <v>0.1</v>
      </c>
      <c r="D48" s="0" t="n">
        <v>0.25</v>
      </c>
      <c r="E48" s="0" t="n">
        <v>0.03</v>
      </c>
      <c r="F48" s="0" t="n">
        <v>0.3</v>
      </c>
      <c r="G48" s="0" t="n">
        <v>0.9</v>
      </c>
      <c r="H48" s="0" t="n">
        <v>1</v>
      </c>
      <c r="I48" s="5" t="n">
        <f aca="false">(A48*B48*C48*D48*E48/(1+D48*E48)+C48*(C48-F48*G48))*H48</f>
        <v>-0.0168883374689826</v>
      </c>
      <c r="J48" s="0" t="n">
        <f aca="false">EXP(I48)</f>
        <v>0.983253471076492</v>
      </c>
      <c r="K48" s="5" t="n">
        <f aca="false">IF(OR(J48&gt;1.05,J48&lt;0.95),1,0)</f>
        <v>0</v>
      </c>
    </row>
    <row r="49" customFormat="false" ht="13.8" hidden="false" customHeight="false" outlineLevel="0" collapsed="false">
      <c r="A49" s="0" t="n">
        <v>0.5</v>
      </c>
      <c r="B49" s="0" t="n">
        <v>0.3</v>
      </c>
      <c r="C49" s="0" t="n">
        <v>0.1</v>
      </c>
      <c r="D49" s="0" t="n">
        <v>0.25</v>
      </c>
      <c r="E49" s="0" t="n">
        <v>0.03</v>
      </c>
      <c r="F49" s="0" t="n">
        <v>0.3</v>
      </c>
      <c r="G49" s="0" t="n">
        <v>0.9</v>
      </c>
      <c r="H49" s="0" t="n">
        <v>10</v>
      </c>
      <c r="I49" s="5" t="n">
        <f aca="false">(A49*B49*C49*D49*E49/(1+D49*E49)+C49*(C49-F49*G49))*H49</f>
        <v>-0.168883374689826</v>
      </c>
      <c r="J49" s="0" t="n">
        <f aca="false">EXP(I49)</f>
        <v>0.844607400242338</v>
      </c>
      <c r="K49" s="5" t="n">
        <f aca="false">IF(OR(J49&gt;1.05,J49&lt;0.95),1,0)</f>
        <v>1</v>
      </c>
    </row>
    <row r="50" customFormat="false" ht="13.8" hidden="false" customHeight="false" outlineLevel="0" collapsed="false">
      <c r="A50" s="0" t="n">
        <v>0.5</v>
      </c>
      <c r="B50" s="0" t="n">
        <v>0.3</v>
      </c>
      <c r="C50" s="0" t="n">
        <v>0.1</v>
      </c>
      <c r="D50" s="0" t="n">
        <v>0.25</v>
      </c>
      <c r="E50" s="0" t="n">
        <v>0.15</v>
      </c>
      <c r="F50" s="0" t="n">
        <v>0.1</v>
      </c>
      <c r="G50" s="0" t="n">
        <v>0.5</v>
      </c>
      <c r="H50" s="0" t="n">
        <v>1</v>
      </c>
      <c r="I50" s="5" t="n">
        <f aca="false">(A50*B50*C50*D50*E50/(1+D50*E50)+C50*(C50-F50*G50))*H50</f>
        <v>0.0055421686746988</v>
      </c>
      <c r="J50" s="0" t="n">
        <f aca="false">EXP(I50)</f>
        <v>1.00555755490273</v>
      </c>
      <c r="K50" s="5" t="n">
        <f aca="false">IF(OR(J50&gt;1.05,J50&lt;0.95),1,0)</f>
        <v>0</v>
      </c>
    </row>
    <row r="51" customFormat="false" ht="13.8" hidden="false" customHeight="false" outlineLevel="0" collapsed="false">
      <c r="A51" s="0" t="n">
        <v>0.5</v>
      </c>
      <c r="B51" s="0" t="n">
        <v>0.3</v>
      </c>
      <c r="C51" s="0" t="n">
        <v>0.1</v>
      </c>
      <c r="D51" s="0" t="n">
        <v>0.25</v>
      </c>
      <c r="E51" s="0" t="n">
        <v>0.15</v>
      </c>
      <c r="F51" s="0" t="n">
        <v>0.1</v>
      </c>
      <c r="G51" s="0" t="n">
        <v>0.5</v>
      </c>
      <c r="H51" s="0" t="n">
        <v>10</v>
      </c>
      <c r="I51" s="5" t="n">
        <f aca="false">(A51*B51*C51*D51*E51/(1+D51*E51)+C51*(C51-F51*G51))*H51</f>
        <v>0.055421686746988</v>
      </c>
      <c r="J51" s="0" t="n">
        <f aca="false">EXP(I51)</f>
        <v>1.05698623780044</v>
      </c>
      <c r="K51" s="5" t="n">
        <f aca="false">IF(OR(J51&gt;1.05,J51&lt;0.95),1,0)</f>
        <v>1</v>
      </c>
    </row>
    <row r="52" customFormat="false" ht="13.8" hidden="false" customHeight="false" outlineLevel="0" collapsed="false">
      <c r="A52" s="0" t="n">
        <v>0.5</v>
      </c>
      <c r="B52" s="0" t="n">
        <v>0.3</v>
      </c>
      <c r="C52" s="0" t="n">
        <v>0.1</v>
      </c>
      <c r="D52" s="0" t="n">
        <v>0.25</v>
      </c>
      <c r="E52" s="0" t="n">
        <v>0.15</v>
      </c>
      <c r="F52" s="0" t="n">
        <v>0.1</v>
      </c>
      <c r="G52" s="0" t="n">
        <v>0.9</v>
      </c>
      <c r="H52" s="0" t="n">
        <v>1</v>
      </c>
      <c r="I52" s="5" t="n">
        <f aca="false">(A52*B52*C52*D52*E52/(1+D52*E52)+C52*(C52-F52*G52))*H52</f>
        <v>0.00154216867469879</v>
      </c>
      <c r="J52" s="0" t="n">
        <f aca="false">EXP(I52)</f>
        <v>1.00154335842833</v>
      </c>
      <c r="K52" s="5" t="n">
        <f aca="false">IF(OR(J52&gt;1.05,J52&lt;0.95),1,0)</f>
        <v>0</v>
      </c>
    </row>
    <row r="53" customFormat="false" ht="13.8" hidden="false" customHeight="false" outlineLevel="0" collapsed="false">
      <c r="A53" s="0" t="n">
        <v>0.5</v>
      </c>
      <c r="B53" s="0" t="n">
        <v>0.3</v>
      </c>
      <c r="C53" s="0" t="n">
        <v>0.1</v>
      </c>
      <c r="D53" s="0" t="n">
        <v>0.25</v>
      </c>
      <c r="E53" s="0" t="n">
        <v>0.15</v>
      </c>
      <c r="F53" s="0" t="n">
        <v>0.1</v>
      </c>
      <c r="G53" s="0" t="n">
        <v>0.9</v>
      </c>
      <c r="H53" s="0" t="n">
        <v>10</v>
      </c>
      <c r="I53" s="5" t="n">
        <f aca="false">(A53*B53*C53*D53*E53/(1+D53*E53)+C53*(C53-F53*G53))*H53</f>
        <v>0.0154216867469879</v>
      </c>
      <c r="J53" s="0" t="n">
        <f aca="false">EXP(I53)</f>
        <v>1.01554121460801</v>
      </c>
      <c r="K53" s="5" t="n">
        <f aca="false">IF(OR(J53&gt;1.05,J53&lt;0.95),1,0)</f>
        <v>0</v>
      </c>
    </row>
    <row r="54" customFormat="false" ht="13.8" hidden="false" customHeight="false" outlineLevel="0" collapsed="false">
      <c r="A54" s="0" t="n">
        <v>0.5</v>
      </c>
      <c r="B54" s="0" t="n">
        <v>0.3</v>
      </c>
      <c r="C54" s="0" t="n">
        <v>0.1</v>
      </c>
      <c r="D54" s="0" t="n">
        <v>0.25</v>
      </c>
      <c r="E54" s="0" t="n">
        <v>0.15</v>
      </c>
      <c r="F54" s="0" t="n">
        <v>0.3</v>
      </c>
      <c r="G54" s="0" t="n">
        <v>0.5</v>
      </c>
      <c r="H54" s="0" t="n">
        <v>1</v>
      </c>
      <c r="I54" s="5" t="n">
        <f aca="false">(A54*B54*C54*D54*E54/(1+D54*E54)+C54*(C54-F54*G54))*H54</f>
        <v>-0.00445783132530121</v>
      </c>
      <c r="J54" s="0" t="n">
        <f aca="false">EXP(I54)</f>
        <v>0.99555209005667</v>
      </c>
      <c r="K54" s="5" t="n">
        <f aca="false">IF(OR(J54&gt;1.05,J54&lt;0.95),1,0)</f>
        <v>0</v>
      </c>
    </row>
    <row r="55" customFormat="false" ht="13.8" hidden="false" customHeight="false" outlineLevel="0" collapsed="false">
      <c r="A55" s="0" t="n">
        <v>0.5</v>
      </c>
      <c r="B55" s="0" t="n">
        <v>0.3</v>
      </c>
      <c r="C55" s="0" t="n">
        <v>0.1</v>
      </c>
      <c r="D55" s="0" t="n">
        <v>0.25</v>
      </c>
      <c r="E55" s="0" t="n">
        <v>0.15</v>
      </c>
      <c r="F55" s="0" t="n">
        <v>0.3</v>
      </c>
      <c r="G55" s="0" t="n">
        <v>0.5</v>
      </c>
      <c r="H55" s="0" t="n">
        <v>10</v>
      </c>
      <c r="I55" s="5" t="n">
        <f aca="false">(A55*B55*C55*D55*E55/(1+D55*E55)+C55*(C55-F55*G55))*H55</f>
        <v>-0.0445783132530121</v>
      </c>
      <c r="J55" s="0" t="n">
        <f aca="false">EXP(I55)</f>
        <v>0.95640069831089</v>
      </c>
      <c r="K55" s="5" t="n">
        <f aca="false">IF(OR(J55&gt;1.05,J55&lt;0.95),1,0)</f>
        <v>0</v>
      </c>
    </row>
    <row r="56" customFormat="false" ht="13.8" hidden="false" customHeight="false" outlineLevel="0" collapsed="false">
      <c r="A56" s="0" t="n">
        <v>0.5</v>
      </c>
      <c r="B56" s="0" t="n">
        <v>0.3</v>
      </c>
      <c r="C56" s="0" t="n">
        <v>0.1</v>
      </c>
      <c r="D56" s="0" t="n">
        <v>0.25</v>
      </c>
      <c r="E56" s="0" t="n">
        <v>0.15</v>
      </c>
      <c r="F56" s="0" t="n">
        <v>0.3</v>
      </c>
      <c r="G56" s="0" t="n">
        <v>0.9</v>
      </c>
      <c r="H56" s="0" t="n">
        <v>1</v>
      </c>
      <c r="I56" s="5" t="n">
        <f aca="false">(A56*B56*C56*D56*E56/(1+D56*E56)+C56*(C56-F56*G56))*H56</f>
        <v>-0.0164578313253012</v>
      </c>
      <c r="J56" s="0" t="n">
        <f aca="false">EXP(I56)</f>
        <v>0.983676858865569</v>
      </c>
      <c r="K56" s="5" t="n">
        <f aca="false">IF(OR(J56&gt;1.05,J56&lt;0.95),1,0)</f>
        <v>0</v>
      </c>
    </row>
    <row r="57" customFormat="false" ht="13.8" hidden="false" customHeight="false" outlineLevel="0" collapsed="false">
      <c r="A57" s="0" t="n">
        <v>0.5</v>
      </c>
      <c r="B57" s="0" t="n">
        <v>0.3</v>
      </c>
      <c r="C57" s="0" t="n">
        <v>0.1</v>
      </c>
      <c r="D57" s="0" t="n">
        <v>0.25</v>
      </c>
      <c r="E57" s="0" t="n">
        <v>0.15</v>
      </c>
      <c r="F57" s="0" t="n">
        <v>0.3</v>
      </c>
      <c r="G57" s="0" t="n">
        <v>0.9</v>
      </c>
      <c r="H57" s="0" t="n">
        <v>10</v>
      </c>
      <c r="I57" s="5" t="n">
        <f aca="false">(A57*B57*C57*D57*E57/(1+D57*E57)+C57*(C57-F57*G57))*H57</f>
        <v>-0.164578313253012</v>
      </c>
      <c r="J57" s="0" t="n">
        <f aca="false">EXP(I57)</f>
        <v>0.848251325022489</v>
      </c>
      <c r="K57" s="5" t="n">
        <f aca="false">IF(OR(J57&gt;1.05,J57&lt;0.95),1,0)</f>
        <v>1</v>
      </c>
    </row>
    <row r="58" customFormat="false" ht="13.8" hidden="false" customHeight="false" outlineLevel="0" collapsed="false">
      <c r="A58" s="0" t="n">
        <v>0.5</v>
      </c>
      <c r="B58" s="0" t="n">
        <v>0.3</v>
      </c>
      <c r="C58" s="0" t="n">
        <v>0.3</v>
      </c>
      <c r="D58" s="0" t="n">
        <v>0.25</v>
      </c>
      <c r="E58" s="0" t="n">
        <v>0.03</v>
      </c>
      <c r="F58" s="0" t="n">
        <v>0.1</v>
      </c>
      <c r="G58" s="0" t="n">
        <v>0.5</v>
      </c>
      <c r="H58" s="0" t="n">
        <v>1</v>
      </c>
      <c r="I58" s="5" t="n">
        <f aca="false">(A58*B58*C58*D58*E58/(1+D58*E58)+C58*(C58-F58*G58))*H58</f>
        <v>0.0753349875930521</v>
      </c>
      <c r="J58" s="0" t="n">
        <f aca="false">EXP(I58)</f>
        <v>1.07824528918697</v>
      </c>
      <c r="K58" s="5" t="n">
        <f aca="false">IF(OR(J58&gt;1.05,J58&lt;0.95),1,0)</f>
        <v>1</v>
      </c>
    </row>
    <row r="59" customFormat="false" ht="13.8" hidden="false" customHeight="false" outlineLevel="0" collapsed="false">
      <c r="A59" s="0" t="n">
        <v>0.5</v>
      </c>
      <c r="B59" s="0" t="n">
        <v>0.3</v>
      </c>
      <c r="C59" s="0" t="n">
        <v>0.3</v>
      </c>
      <c r="D59" s="0" t="n">
        <v>0.25</v>
      </c>
      <c r="E59" s="0" t="n">
        <v>0.03</v>
      </c>
      <c r="F59" s="0" t="n">
        <v>0.1</v>
      </c>
      <c r="G59" s="0" t="n">
        <v>0.5</v>
      </c>
      <c r="H59" s="0" t="n">
        <v>10</v>
      </c>
      <c r="I59" s="5" t="n">
        <f aca="false">(A59*B59*C59*D59*E59/(1+D59*E59)+C59*(C59-F59*G59))*H59</f>
        <v>0.753349875930521</v>
      </c>
      <c r="J59" s="0" t="n">
        <f aca="false">EXP(I59)</f>
        <v>2.12410359542425</v>
      </c>
      <c r="K59" s="5" t="n">
        <f aca="false">IF(OR(J59&gt;1.05,J59&lt;0.95),1,0)</f>
        <v>1</v>
      </c>
    </row>
    <row r="60" customFormat="false" ht="13.8" hidden="false" customHeight="false" outlineLevel="0" collapsed="false">
      <c r="A60" s="0" t="n">
        <v>0.5</v>
      </c>
      <c r="B60" s="0" t="n">
        <v>0.3</v>
      </c>
      <c r="C60" s="0" t="n">
        <v>0.3</v>
      </c>
      <c r="D60" s="0" t="n">
        <v>0.25</v>
      </c>
      <c r="E60" s="0" t="n">
        <v>0.03</v>
      </c>
      <c r="F60" s="0" t="n">
        <v>0.1</v>
      </c>
      <c r="G60" s="0" t="n">
        <v>0.9</v>
      </c>
      <c r="H60" s="0" t="n">
        <v>1</v>
      </c>
      <c r="I60" s="5" t="n">
        <f aca="false">(A60*B60*C60*D60*E60/(1+D60*E60)+C60*(C60-F60*G60))*H60</f>
        <v>0.0633349875930521</v>
      </c>
      <c r="J60" s="0" t="n">
        <f aca="false">EXP(I60)</f>
        <v>1.06538366977228</v>
      </c>
      <c r="K60" s="5" t="n">
        <f aca="false">IF(OR(J60&gt;1.05,J60&lt;0.95),1,0)</f>
        <v>1</v>
      </c>
    </row>
    <row r="61" customFormat="false" ht="13.8" hidden="false" customHeight="false" outlineLevel="0" collapsed="false">
      <c r="A61" s="0" t="n">
        <v>0.5</v>
      </c>
      <c r="B61" s="0" t="n">
        <v>0.3</v>
      </c>
      <c r="C61" s="0" t="n">
        <v>0.3</v>
      </c>
      <c r="D61" s="0" t="n">
        <v>0.25</v>
      </c>
      <c r="E61" s="0" t="n">
        <v>0.03</v>
      </c>
      <c r="F61" s="0" t="n">
        <v>0.1</v>
      </c>
      <c r="G61" s="0" t="n">
        <v>0.9</v>
      </c>
      <c r="H61" s="0" t="n">
        <v>10</v>
      </c>
      <c r="I61" s="5" t="n">
        <f aca="false">(A61*B61*C61*D61*E61/(1+D61*E61)+C61*(C61-F61*G61))*H61</f>
        <v>0.633349875930521</v>
      </c>
      <c r="J61" s="0" t="n">
        <f aca="false">EXP(I61)</f>
        <v>1.88391088848616</v>
      </c>
      <c r="K61" s="5" t="n">
        <f aca="false">IF(OR(J61&gt;1.05,J61&lt;0.95),1,0)</f>
        <v>1</v>
      </c>
    </row>
    <row r="62" customFormat="false" ht="13.8" hidden="false" customHeight="false" outlineLevel="0" collapsed="false">
      <c r="A62" s="0" t="n">
        <v>0.5</v>
      </c>
      <c r="B62" s="0" t="n">
        <v>0.3</v>
      </c>
      <c r="C62" s="0" t="n">
        <v>0.3</v>
      </c>
      <c r="D62" s="0" t="n">
        <v>0.25</v>
      </c>
      <c r="E62" s="0" t="n">
        <v>0.03</v>
      </c>
      <c r="F62" s="0" t="n">
        <v>0.3</v>
      </c>
      <c r="G62" s="0" t="n">
        <v>0.5</v>
      </c>
      <c r="H62" s="0" t="n">
        <v>1</v>
      </c>
      <c r="I62" s="5" t="n">
        <f aca="false">(A62*B62*C62*D62*E62/(1+D62*E62)+C62*(C62-F62*G62))*H62</f>
        <v>0.0453349875930521</v>
      </c>
      <c r="J62" s="0" t="n">
        <f aca="false">EXP(I62)</f>
        <v>1.04637832496122</v>
      </c>
      <c r="K62" s="5" t="n">
        <f aca="false">IF(OR(J62&gt;1.05,J62&lt;0.95),1,0)</f>
        <v>0</v>
      </c>
    </row>
    <row r="63" customFormat="false" ht="13.8" hidden="false" customHeight="false" outlineLevel="0" collapsed="false">
      <c r="A63" s="0" t="n">
        <v>0.5</v>
      </c>
      <c r="B63" s="0" t="n">
        <v>0.3</v>
      </c>
      <c r="C63" s="0" t="n">
        <v>0.3</v>
      </c>
      <c r="D63" s="0" t="n">
        <v>0.25</v>
      </c>
      <c r="E63" s="0" t="n">
        <v>0.03</v>
      </c>
      <c r="F63" s="0" t="n">
        <v>0.3</v>
      </c>
      <c r="G63" s="0" t="n">
        <v>0.5</v>
      </c>
      <c r="H63" s="0" t="n">
        <v>10</v>
      </c>
      <c r="I63" s="5" t="n">
        <f aca="false">(A63*B63*C63*D63*E63/(1+D63*E63)+C63*(C63-F63*G63))*H63</f>
        <v>0.453349875930521</v>
      </c>
      <c r="J63" s="0" t="n">
        <f aca="false">EXP(I63)</f>
        <v>1.57357464610583</v>
      </c>
      <c r="K63" s="5" t="n">
        <f aca="false">IF(OR(J63&gt;1.05,J63&lt;0.95),1,0)</f>
        <v>1</v>
      </c>
    </row>
    <row r="64" customFormat="false" ht="13.8" hidden="false" customHeight="false" outlineLevel="0" collapsed="false">
      <c r="A64" s="0" t="n">
        <v>0.5</v>
      </c>
      <c r="B64" s="0" t="n">
        <v>0.3</v>
      </c>
      <c r="C64" s="0" t="n">
        <v>0.3</v>
      </c>
      <c r="D64" s="0" t="n">
        <v>0.25</v>
      </c>
      <c r="E64" s="0" t="n">
        <v>0.03</v>
      </c>
      <c r="F64" s="0" t="n">
        <v>0.3</v>
      </c>
      <c r="G64" s="0" t="n">
        <v>0.9</v>
      </c>
      <c r="H64" s="0" t="n">
        <v>1</v>
      </c>
      <c r="I64" s="5" t="n">
        <f aca="false">(A64*B64*C64*D64*E64/(1+D64*E64)+C64*(C64-F64*G64))*H64</f>
        <v>0.0093349875930521</v>
      </c>
      <c r="J64" s="0" t="n">
        <f aca="false">EXP(I64)</f>
        <v>1.00937869448497</v>
      </c>
      <c r="K64" s="5" t="n">
        <f aca="false">IF(OR(J64&gt;1.05,J64&lt;0.95),1,0)</f>
        <v>0</v>
      </c>
    </row>
    <row r="65" customFormat="false" ht="13.8" hidden="false" customHeight="false" outlineLevel="0" collapsed="false">
      <c r="A65" s="0" t="n">
        <v>0.5</v>
      </c>
      <c r="B65" s="0" t="n">
        <v>0.3</v>
      </c>
      <c r="C65" s="0" t="n">
        <v>0.3</v>
      </c>
      <c r="D65" s="0" t="n">
        <v>0.25</v>
      </c>
      <c r="E65" s="0" t="n">
        <v>0.03</v>
      </c>
      <c r="F65" s="0" t="n">
        <v>0.3</v>
      </c>
      <c r="G65" s="0" t="n">
        <v>0.9</v>
      </c>
      <c r="H65" s="0" t="n">
        <v>10</v>
      </c>
      <c r="I65" s="5" t="n">
        <f aca="false">(A65*B65*C65*D65*E65/(1+D65*E65)+C65*(C65-F65*G65))*H65</f>
        <v>0.093349875930521</v>
      </c>
      <c r="J65" s="0" t="n">
        <f aca="false">EXP(I65)</f>
        <v>1.09784577789364</v>
      </c>
      <c r="K65" s="5" t="n">
        <f aca="false">IF(OR(J65&gt;1.05,J65&lt;0.95),1,0)</f>
        <v>1</v>
      </c>
    </row>
    <row r="66" customFormat="false" ht="13.8" hidden="false" customHeight="false" outlineLevel="0" collapsed="false">
      <c r="A66" s="0" t="n">
        <v>0.5</v>
      </c>
      <c r="B66" s="0" t="n">
        <v>0.3</v>
      </c>
      <c r="C66" s="0" t="n">
        <v>0.3</v>
      </c>
      <c r="D66" s="0" t="n">
        <v>0.25</v>
      </c>
      <c r="E66" s="0" t="n">
        <v>0.15</v>
      </c>
      <c r="F66" s="0" t="n">
        <v>0.1</v>
      </c>
      <c r="G66" s="0" t="n">
        <v>0.5</v>
      </c>
      <c r="H66" s="0" t="n">
        <v>1</v>
      </c>
      <c r="I66" s="5" t="n">
        <f aca="false">(A66*B66*C66*D66*E66/(1+D66*E66)+C66*(C66-F66*G66))*H66</f>
        <v>0.0766265060240964</v>
      </c>
      <c r="J66" s="0" t="n">
        <f aca="false">EXP(I66)</f>
        <v>1.07963876250569</v>
      </c>
      <c r="K66" s="5" t="n">
        <f aca="false">IF(OR(J66&gt;1.05,J66&lt;0.95),1,0)</f>
        <v>1</v>
      </c>
    </row>
    <row r="67" customFormat="false" ht="13.8" hidden="false" customHeight="false" outlineLevel="0" collapsed="false">
      <c r="A67" s="0" t="n">
        <v>0.5</v>
      </c>
      <c r="B67" s="0" t="n">
        <v>0.3</v>
      </c>
      <c r="C67" s="0" t="n">
        <v>0.3</v>
      </c>
      <c r="D67" s="0" t="n">
        <v>0.25</v>
      </c>
      <c r="E67" s="0" t="n">
        <v>0.15</v>
      </c>
      <c r="F67" s="0" t="n">
        <v>0.1</v>
      </c>
      <c r="G67" s="0" t="n">
        <v>0.5</v>
      </c>
      <c r="H67" s="0" t="n">
        <v>10</v>
      </c>
      <c r="I67" s="5" t="n">
        <f aca="false">(A67*B67*C67*D67*E67/(1+D67*E67)+C67*(C67-F67*G67))*H67</f>
        <v>0.766265060240964</v>
      </c>
      <c r="J67" s="0" t="n">
        <f aca="false">EXP(I67)</f>
        <v>2.15171470232304</v>
      </c>
      <c r="K67" s="5" t="n">
        <f aca="false">IF(OR(J67&gt;1.05,J67&lt;0.95),1,0)</f>
        <v>1</v>
      </c>
    </row>
    <row r="68" customFormat="false" ht="13.8" hidden="false" customHeight="false" outlineLevel="0" collapsed="false">
      <c r="A68" s="0" t="n">
        <v>0.5</v>
      </c>
      <c r="B68" s="0" t="n">
        <v>0.3</v>
      </c>
      <c r="C68" s="0" t="n">
        <v>0.3</v>
      </c>
      <c r="D68" s="0" t="n">
        <v>0.25</v>
      </c>
      <c r="E68" s="0" t="n">
        <v>0.15</v>
      </c>
      <c r="F68" s="0" t="n">
        <v>0.1</v>
      </c>
      <c r="G68" s="0" t="n">
        <v>0.9</v>
      </c>
      <c r="H68" s="0" t="n">
        <v>1</v>
      </c>
      <c r="I68" s="5" t="n">
        <f aca="false">(A68*B68*C68*D68*E68/(1+D68*E68)+C68*(C68-F68*G68))*H68</f>
        <v>0.0646265060240964</v>
      </c>
      <c r="J68" s="0" t="n">
        <f aca="false">EXP(I68)</f>
        <v>1.06676052134113</v>
      </c>
      <c r="K68" s="5" t="n">
        <f aca="false">IF(OR(J68&gt;1.05,J68&lt;0.95),1,0)</f>
        <v>1</v>
      </c>
    </row>
    <row r="69" customFormat="false" ht="13.8" hidden="false" customHeight="false" outlineLevel="0" collapsed="false">
      <c r="A69" s="0" t="n">
        <v>0.5</v>
      </c>
      <c r="B69" s="0" t="n">
        <v>0.3</v>
      </c>
      <c r="C69" s="0" t="n">
        <v>0.3</v>
      </c>
      <c r="D69" s="0" t="n">
        <v>0.25</v>
      </c>
      <c r="E69" s="0" t="n">
        <v>0.15</v>
      </c>
      <c r="F69" s="0" t="n">
        <v>0.1</v>
      </c>
      <c r="G69" s="0" t="n">
        <v>0.9</v>
      </c>
      <c r="H69" s="0" t="n">
        <v>10</v>
      </c>
      <c r="I69" s="5" t="n">
        <f aca="false">(A69*B69*C69*D69*E69/(1+D69*E69)+C69*(C69-F69*G69))*H69</f>
        <v>0.646265060240964</v>
      </c>
      <c r="J69" s="0" t="n">
        <f aca="false">EXP(I69)</f>
        <v>1.90839974347508</v>
      </c>
      <c r="K69" s="5" t="n">
        <f aca="false">IF(OR(J69&gt;1.05,J69&lt;0.95),1,0)</f>
        <v>1</v>
      </c>
    </row>
    <row r="70" customFormat="false" ht="13.8" hidden="false" customHeight="false" outlineLevel="0" collapsed="false">
      <c r="A70" s="0" t="n">
        <v>0.5</v>
      </c>
      <c r="B70" s="0" t="n">
        <v>0.3</v>
      </c>
      <c r="C70" s="0" t="n">
        <v>0.3</v>
      </c>
      <c r="D70" s="0" t="n">
        <v>0.25</v>
      </c>
      <c r="E70" s="0" t="n">
        <v>0.15</v>
      </c>
      <c r="F70" s="0" t="n">
        <v>0.3</v>
      </c>
      <c r="G70" s="0" t="n">
        <v>0.5</v>
      </c>
      <c r="H70" s="0" t="n">
        <v>1</v>
      </c>
      <c r="I70" s="5" t="n">
        <f aca="false">(A70*B70*C70*D70*E70/(1+D70*E70)+C70*(C70-F70*G70))*H70</f>
        <v>0.0466265060240964</v>
      </c>
      <c r="J70" s="0" t="n">
        <f aca="false">EXP(I70)</f>
        <v>1.04773061491948</v>
      </c>
      <c r="K70" s="5" t="n">
        <f aca="false">IF(OR(J70&gt;1.05,J70&lt;0.95),1,0)</f>
        <v>0</v>
      </c>
    </row>
    <row r="71" customFormat="false" ht="13.8" hidden="false" customHeight="false" outlineLevel="0" collapsed="false">
      <c r="A71" s="0" t="n">
        <v>0.5</v>
      </c>
      <c r="B71" s="0" t="n">
        <v>0.3</v>
      </c>
      <c r="C71" s="0" t="n">
        <v>0.3</v>
      </c>
      <c r="D71" s="0" t="n">
        <v>0.25</v>
      </c>
      <c r="E71" s="0" t="n">
        <v>0.15</v>
      </c>
      <c r="F71" s="0" t="n">
        <v>0.3</v>
      </c>
      <c r="G71" s="0" t="n">
        <v>0.5</v>
      </c>
      <c r="H71" s="0" t="n">
        <v>10</v>
      </c>
      <c r="I71" s="5" t="n">
        <f aca="false">(A71*B71*C71*D71*E71/(1+D71*E71)+C71*(C71-F71*G71))*H71</f>
        <v>0.466265060240964</v>
      </c>
      <c r="J71" s="0" t="n">
        <f aca="false">EXP(I71)</f>
        <v>1.59402945718965</v>
      </c>
      <c r="K71" s="5" t="n">
        <f aca="false">IF(OR(J71&gt;1.05,J71&lt;0.95),1,0)</f>
        <v>1</v>
      </c>
    </row>
    <row r="72" customFormat="false" ht="13.8" hidden="false" customHeight="false" outlineLevel="0" collapsed="false">
      <c r="A72" s="0" t="n">
        <v>0.5</v>
      </c>
      <c r="B72" s="0" t="n">
        <v>0.3</v>
      </c>
      <c r="C72" s="0" t="n">
        <v>0.3</v>
      </c>
      <c r="D72" s="0" t="n">
        <v>0.25</v>
      </c>
      <c r="E72" s="0" t="n">
        <v>0.15</v>
      </c>
      <c r="F72" s="0" t="n">
        <v>0.3</v>
      </c>
      <c r="G72" s="0" t="n">
        <v>0.9</v>
      </c>
      <c r="H72" s="0" t="n">
        <v>1</v>
      </c>
      <c r="I72" s="5" t="n">
        <f aca="false">(A72*B72*C72*D72*E72/(1+D72*E72)+C72*(C72-F72*G72))*H72</f>
        <v>0.0106265060240964</v>
      </c>
      <c r="J72" s="0" t="n">
        <f aca="false">EXP(I72)</f>
        <v>1.01068316786718</v>
      </c>
      <c r="K72" s="5" t="n">
        <f aca="false">IF(OR(J72&gt;1.05,J72&lt;0.95),1,0)</f>
        <v>0</v>
      </c>
    </row>
    <row r="73" customFormat="false" ht="13.8" hidden="false" customHeight="false" outlineLevel="0" collapsed="false">
      <c r="A73" s="0" t="n">
        <v>0.5</v>
      </c>
      <c r="B73" s="0" t="n">
        <v>0.3</v>
      </c>
      <c r="C73" s="0" t="n">
        <v>0.3</v>
      </c>
      <c r="D73" s="0" t="n">
        <v>0.25</v>
      </c>
      <c r="E73" s="0" t="n">
        <v>0.15</v>
      </c>
      <c r="F73" s="0" t="n">
        <v>0.3</v>
      </c>
      <c r="G73" s="0" t="n">
        <v>0.9</v>
      </c>
      <c r="H73" s="0" t="n">
        <v>10</v>
      </c>
      <c r="I73" s="5" t="n">
        <f aca="false">(A73*B73*C73*D73*E73/(1+D73*E73)+C73*(C73-F73*G73))*H73</f>
        <v>0.106265060240964</v>
      </c>
      <c r="J73" s="0" t="n">
        <f aca="false">EXP(I73)</f>
        <v>1.11211661534107</v>
      </c>
      <c r="K73" s="5" t="n">
        <f aca="false">IF(OR(J73&gt;1.05,J73&lt;0.95),1,0)</f>
        <v>1</v>
      </c>
    </row>
    <row r="74" customFormat="false" ht="13.8" hidden="false" customHeight="false" outlineLevel="0" collapsed="false">
      <c r="A74" s="0" t="n">
        <v>0.9</v>
      </c>
      <c r="B74" s="0" t="n">
        <v>0.1</v>
      </c>
      <c r="C74" s="0" t="n">
        <v>0.1</v>
      </c>
      <c r="D74" s="0" t="n">
        <v>0.25</v>
      </c>
      <c r="E74" s="0" t="n">
        <v>0.03</v>
      </c>
      <c r="F74" s="0" t="n">
        <v>0.1</v>
      </c>
      <c r="G74" s="0" t="n">
        <v>0.5</v>
      </c>
      <c r="H74" s="0" t="n">
        <v>1</v>
      </c>
      <c r="I74" s="5" t="n">
        <f aca="false">(A74*B74*C74*D74*E74/(1+D74*E74)+C74*(C74-F74*G74))*H74</f>
        <v>0.00506699751861042</v>
      </c>
      <c r="J74" s="0" t="n">
        <f aca="false">EXP(I74)</f>
        <v>1.0050798564601</v>
      </c>
      <c r="K74" s="5" t="n">
        <f aca="false">IF(OR(J74&gt;1.05,J74&lt;0.95),1,0)</f>
        <v>0</v>
      </c>
    </row>
    <row r="75" customFormat="false" ht="13.8" hidden="false" customHeight="false" outlineLevel="0" collapsed="false">
      <c r="A75" s="0" t="n">
        <v>0.9</v>
      </c>
      <c r="B75" s="0" t="n">
        <v>0.1</v>
      </c>
      <c r="C75" s="0" t="n">
        <v>0.1</v>
      </c>
      <c r="D75" s="0" t="n">
        <v>0.25</v>
      </c>
      <c r="E75" s="0" t="n">
        <v>0.03</v>
      </c>
      <c r="F75" s="0" t="n">
        <v>0.1</v>
      </c>
      <c r="G75" s="0" t="n">
        <v>0.5</v>
      </c>
      <c r="H75" s="0" t="n">
        <v>10</v>
      </c>
      <c r="I75" s="5" t="n">
        <f aca="false">(A75*B75*C75*D75*E75/(1+D75*E75)+C75*(C75-F75*G75))*H75</f>
        <v>0.0506699751861042</v>
      </c>
      <c r="J75" s="0" t="n">
        <f aca="false">EXP(I75)</f>
        <v>1.05197565791749</v>
      </c>
      <c r="K75" s="5" t="n">
        <f aca="false">IF(OR(J75&gt;1.05,J75&lt;0.95),1,0)</f>
        <v>1</v>
      </c>
    </row>
    <row r="76" customFormat="false" ht="13.8" hidden="false" customHeight="false" outlineLevel="0" collapsed="false">
      <c r="A76" s="0" t="n">
        <v>0.9</v>
      </c>
      <c r="B76" s="0" t="n">
        <v>0.1</v>
      </c>
      <c r="C76" s="0" t="n">
        <v>0.1</v>
      </c>
      <c r="D76" s="0" t="n">
        <v>0.25</v>
      </c>
      <c r="E76" s="0" t="n">
        <v>0.03</v>
      </c>
      <c r="F76" s="0" t="n">
        <v>0.1</v>
      </c>
      <c r="G76" s="0" t="n">
        <v>0.9</v>
      </c>
      <c r="H76" s="0" t="n">
        <v>1</v>
      </c>
      <c r="I76" s="5" t="n">
        <f aca="false">(A76*B76*C76*D76*E76/(1+D76*E76)+C76*(C76-F76*G76))*H76</f>
        <v>0.00106699751861042</v>
      </c>
      <c r="J76" s="0" t="n">
        <f aca="false">EXP(I76)</f>
        <v>1.00106756696298</v>
      </c>
      <c r="K76" s="5" t="n">
        <f aca="false">IF(OR(J76&gt;1.05,J76&lt;0.95),1,0)</f>
        <v>0</v>
      </c>
    </row>
    <row r="77" customFormat="false" ht="13.8" hidden="false" customHeight="false" outlineLevel="0" collapsed="false">
      <c r="A77" s="0" t="n">
        <v>0.9</v>
      </c>
      <c r="B77" s="0" t="n">
        <v>0.1</v>
      </c>
      <c r="C77" s="0" t="n">
        <v>0.1</v>
      </c>
      <c r="D77" s="0" t="n">
        <v>0.25</v>
      </c>
      <c r="E77" s="0" t="n">
        <v>0.03</v>
      </c>
      <c r="F77" s="0" t="n">
        <v>0.1</v>
      </c>
      <c r="G77" s="0" t="n">
        <v>0.9</v>
      </c>
      <c r="H77" s="0" t="n">
        <v>10</v>
      </c>
      <c r="I77" s="5" t="n">
        <f aca="false">(A77*B77*C77*D77*E77/(1+D77*E77)+C77*(C77-F77*G77))*H77</f>
        <v>0.0106699751861042</v>
      </c>
      <c r="J77" s="0" t="n">
        <f aca="false">EXP(I77)</f>
        <v>1.01072710237244</v>
      </c>
      <c r="K77" s="5" t="n">
        <f aca="false">IF(OR(J77&gt;1.05,J77&lt;0.95),1,0)</f>
        <v>0</v>
      </c>
    </row>
    <row r="78" customFormat="false" ht="13.8" hidden="false" customHeight="false" outlineLevel="0" collapsed="false">
      <c r="A78" s="0" t="n">
        <v>0.9</v>
      </c>
      <c r="B78" s="0" t="n">
        <v>0.1</v>
      </c>
      <c r="C78" s="0" t="n">
        <v>0.1</v>
      </c>
      <c r="D78" s="0" t="n">
        <v>0.25</v>
      </c>
      <c r="E78" s="0" t="n">
        <v>0.03</v>
      </c>
      <c r="F78" s="0" t="n">
        <v>0.3</v>
      </c>
      <c r="G78" s="0" t="n">
        <v>0.5</v>
      </c>
      <c r="H78" s="0" t="n">
        <v>1</v>
      </c>
      <c r="I78" s="5" t="n">
        <f aca="false">(A78*B78*C78*D78*E78/(1+D78*E78)+C78*(C78-F78*G78))*H78</f>
        <v>-0.00493300248138958</v>
      </c>
      <c r="J78" s="0" t="n">
        <f aca="false">EXP(I78)</f>
        <v>0.995079144792964</v>
      </c>
      <c r="K78" s="5" t="n">
        <f aca="false">IF(OR(J78&gt;1.05,J78&lt;0.95),1,0)</f>
        <v>0</v>
      </c>
    </row>
    <row r="79" customFormat="false" ht="13.8" hidden="false" customHeight="false" outlineLevel="0" collapsed="false">
      <c r="A79" s="0" t="n">
        <v>0.9</v>
      </c>
      <c r="B79" s="0" t="n">
        <v>0.1</v>
      </c>
      <c r="C79" s="0" t="n">
        <v>0.1</v>
      </c>
      <c r="D79" s="0" t="n">
        <v>0.25</v>
      </c>
      <c r="E79" s="0" t="n">
        <v>0.03</v>
      </c>
      <c r="F79" s="0" t="n">
        <v>0.3</v>
      </c>
      <c r="G79" s="0" t="n">
        <v>0.5</v>
      </c>
      <c r="H79" s="0" t="n">
        <v>10</v>
      </c>
      <c r="I79" s="5" t="n">
        <f aca="false">(A79*B79*C79*D79*E79/(1+D79*E79)+C79*(C79-F79*G79))*H79</f>
        <v>-0.0493300248138958</v>
      </c>
      <c r="J79" s="0" t="n">
        <f aca="false">EXP(I79)</f>
        <v>0.951866938146737</v>
      </c>
      <c r="K79" s="5" t="n">
        <f aca="false">IF(OR(J79&gt;1.05,J79&lt;0.95),1,0)</f>
        <v>0</v>
      </c>
    </row>
    <row r="80" customFormat="false" ht="13.8" hidden="false" customHeight="false" outlineLevel="0" collapsed="false">
      <c r="A80" s="0" t="n">
        <v>0.9</v>
      </c>
      <c r="B80" s="0" t="n">
        <v>0.1</v>
      </c>
      <c r="C80" s="0" t="n">
        <v>0.1</v>
      </c>
      <c r="D80" s="0" t="n">
        <v>0.25</v>
      </c>
      <c r="E80" s="0" t="n">
        <v>0.03</v>
      </c>
      <c r="F80" s="0" t="n">
        <v>0.3</v>
      </c>
      <c r="G80" s="0" t="n">
        <v>0.9</v>
      </c>
      <c r="H80" s="0" t="n">
        <v>1</v>
      </c>
      <c r="I80" s="5" t="n">
        <f aca="false">(A80*B80*C80*D80*E80/(1+D80*E80)+C80*(C80-F80*G80))*H80</f>
        <v>-0.0169330024813896</v>
      </c>
      <c r="J80" s="0" t="n">
        <f aca="false">EXP(I80)</f>
        <v>0.98320955502877</v>
      </c>
      <c r="K80" s="5" t="n">
        <f aca="false">IF(OR(J80&gt;1.05,J80&lt;0.95),1,0)</f>
        <v>0</v>
      </c>
    </row>
    <row r="81" customFormat="false" ht="13.8" hidden="false" customHeight="false" outlineLevel="0" collapsed="false">
      <c r="A81" s="0" t="n">
        <v>0.9</v>
      </c>
      <c r="B81" s="0" t="n">
        <v>0.1</v>
      </c>
      <c r="C81" s="0" t="n">
        <v>0.1</v>
      </c>
      <c r="D81" s="0" t="n">
        <v>0.25</v>
      </c>
      <c r="E81" s="0" t="n">
        <v>0.03</v>
      </c>
      <c r="F81" s="0" t="n">
        <v>0.3</v>
      </c>
      <c r="G81" s="0" t="n">
        <v>0.9</v>
      </c>
      <c r="H81" s="0" t="n">
        <v>10</v>
      </c>
      <c r="I81" s="5" t="n">
        <f aca="false">(A81*B81*C81*D81*E81/(1+D81*E81)+C81*(C81-F81*G81))*H81</f>
        <v>-0.169330024813896</v>
      </c>
      <c r="J81" s="0" t="n">
        <f aca="false">EXP(I81)</f>
        <v>0.844230240477727</v>
      </c>
      <c r="K81" s="5" t="n">
        <f aca="false">IF(OR(J81&gt;1.05,J81&lt;0.95),1,0)</f>
        <v>1</v>
      </c>
    </row>
    <row r="82" customFormat="false" ht="13.8" hidden="false" customHeight="false" outlineLevel="0" collapsed="false">
      <c r="A82" s="0" t="n">
        <v>0.9</v>
      </c>
      <c r="B82" s="0" t="n">
        <v>0.1</v>
      </c>
      <c r="C82" s="0" t="n">
        <v>0.1</v>
      </c>
      <c r="D82" s="0" t="n">
        <v>0.25</v>
      </c>
      <c r="E82" s="0" t="n">
        <v>0.15</v>
      </c>
      <c r="F82" s="0" t="n">
        <v>0.1</v>
      </c>
      <c r="G82" s="0" t="n">
        <v>0.5</v>
      </c>
      <c r="H82" s="0" t="n">
        <v>1</v>
      </c>
      <c r="I82" s="5" t="n">
        <f aca="false">(A82*B82*C82*D82*E82/(1+D82*E82)+C82*(C82-F82*G82))*H82</f>
        <v>0.00532530120481928</v>
      </c>
      <c r="J82" s="0" t="n">
        <f aca="false">EXP(I82)</f>
        <v>1.00533950582471</v>
      </c>
      <c r="K82" s="5" t="n">
        <f aca="false">IF(OR(J82&gt;1.05,J82&lt;0.95),1,0)</f>
        <v>0</v>
      </c>
    </row>
    <row r="83" customFormat="false" ht="13.8" hidden="false" customHeight="false" outlineLevel="0" collapsed="false">
      <c r="A83" s="0" t="n">
        <v>0.9</v>
      </c>
      <c r="B83" s="0" t="n">
        <v>0.1</v>
      </c>
      <c r="C83" s="0" t="n">
        <v>0.1</v>
      </c>
      <c r="D83" s="0" t="n">
        <v>0.25</v>
      </c>
      <c r="E83" s="0" t="n">
        <v>0.15</v>
      </c>
      <c r="F83" s="0" t="n">
        <v>0.1</v>
      </c>
      <c r="G83" s="0" t="n">
        <v>0.5</v>
      </c>
      <c r="H83" s="0" t="n">
        <v>10</v>
      </c>
      <c r="I83" s="5" t="n">
        <f aca="false">(A83*B83*C83*D83*E83/(1+D83*E83)+C83*(C83-F83*G83))*H83</f>
        <v>0.0532530120481928</v>
      </c>
      <c r="J83" s="0" t="n">
        <f aca="false">EXP(I83)</f>
        <v>1.0546964622761</v>
      </c>
      <c r="K83" s="5" t="n">
        <f aca="false">IF(OR(J83&gt;1.05,J83&lt;0.95),1,0)</f>
        <v>1</v>
      </c>
    </row>
    <row r="84" customFormat="false" ht="13.8" hidden="false" customHeight="false" outlineLevel="0" collapsed="false">
      <c r="A84" s="0" t="n">
        <v>0.9</v>
      </c>
      <c r="B84" s="0" t="n">
        <v>0.1</v>
      </c>
      <c r="C84" s="0" t="n">
        <v>0.1</v>
      </c>
      <c r="D84" s="0" t="n">
        <v>0.25</v>
      </c>
      <c r="E84" s="0" t="n">
        <v>0.15</v>
      </c>
      <c r="F84" s="0" t="n">
        <v>0.1</v>
      </c>
      <c r="G84" s="0" t="n">
        <v>0.9</v>
      </c>
      <c r="H84" s="0" t="n">
        <v>1</v>
      </c>
      <c r="I84" s="5" t="n">
        <f aca="false">(A84*B84*C84*D84*E84/(1+D84*E84)+C84*(C84-F84*G84))*H84</f>
        <v>0.00132530120481928</v>
      </c>
      <c r="J84" s="0" t="n">
        <f aca="false">EXP(I84)</f>
        <v>1.00132617980455</v>
      </c>
      <c r="K84" s="5" t="n">
        <f aca="false">IF(OR(J84&gt;1.05,J84&lt;0.95),1,0)</f>
        <v>0</v>
      </c>
    </row>
    <row r="85" customFormat="false" ht="13.8" hidden="false" customHeight="false" outlineLevel="0" collapsed="false">
      <c r="A85" s="0" t="n">
        <v>0.9</v>
      </c>
      <c r="B85" s="0" t="n">
        <v>0.1</v>
      </c>
      <c r="C85" s="0" t="n">
        <v>0.1</v>
      </c>
      <c r="D85" s="0" t="n">
        <v>0.25</v>
      </c>
      <c r="E85" s="0" t="n">
        <v>0.15</v>
      </c>
      <c r="F85" s="0" t="n">
        <v>0.1</v>
      </c>
      <c r="G85" s="0" t="n">
        <v>0.9</v>
      </c>
      <c r="H85" s="0" t="n">
        <v>10</v>
      </c>
      <c r="I85" s="5" t="n">
        <f aca="false">(A85*B85*C85*D85*E85/(1+D85*E85)+C85*(C85-F85*G85))*H85</f>
        <v>0.0132530120481928</v>
      </c>
      <c r="J85" s="0" t="n">
        <f aca="false">EXP(I85)</f>
        <v>1.01334122246619</v>
      </c>
      <c r="K85" s="5" t="n">
        <f aca="false">IF(OR(J85&gt;1.05,J85&lt;0.95),1,0)</f>
        <v>0</v>
      </c>
    </row>
    <row r="86" customFormat="false" ht="13.8" hidden="false" customHeight="false" outlineLevel="0" collapsed="false">
      <c r="A86" s="0" t="n">
        <v>0.9</v>
      </c>
      <c r="B86" s="0" t="n">
        <v>0.1</v>
      </c>
      <c r="C86" s="0" t="n">
        <v>0.1</v>
      </c>
      <c r="D86" s="0" t="n">
        <v>0.25</v>
      </c>
      <c r="E86" s="0" t="n">
        <v>0.15</v>
      </c>
      <c r="F86" s="0" t="n">
        <v>0.3</v>
      </c>
      <c r="G86" s="0" t="n">
        <v>0.5</v>
      </c>
      <c r="H86" s="0" t="n">
        <v>1</v>
      </c>
      <c r="I86" s="5" t="n">
        <f aca="false">(A86*B86*C86*D86*E86/(1+D86*E86)+C86*(C86-F86*G86))*H86</f>
        <v>-0.00467469879518073</v>
      </c>
      <c r="J86" s="0" t="n">
        <f aca="false">EXP(I86)</f>
        <v>0.995336210603228</v>
      </c>
      <c r="K86" s="5" t="n">
        <f aca="false">IF(OR(J86&gt;1.05,J86&lt;0.95),1,0)</f>
        <v>0</v>
      </c>
    </row>
    <row r="87" customFormat="false" ht="13.8" hidden="false" customHeight="false" outlineLevel="0" collapsed="false">
      <c r="A87" s="0" t="n">
        <v>0.9</v>
      </c>
      <c r="B87" s="0" t="n">
        <v>0.1</v>
      </c>
      <c r="C87" s="0" t="n">
        <v>0.1</v>
      </c>
      <c r="D87" s="0" t="n">
        <v>0.25</v>
      </c>
      <c r="E87" s="0" t="n">
        <v>0.15</v>
      </c>
      <c r="F87" s="0" t="n">
        <v>0.3</v>
      </c>
      <c r="G87" s="0" t="n">
        <v>0.5</v>
      </c>
      <c r="H87" s="0" t="n">
        <v>10</v>
      </c>
      <c r="I87" s="5" t="n">
        <f aca="false">(A87*B87*C87*D87*E87/(1+D87*E87)+C87*(C87-F87*G87))*H87</f>
        <v>-0.0467469879518073</v>
      </c>
      <c r="J87" s="0" t="n">
        <f aca="false">EXP(I87)</f>
        <v>0.954328823737564</v>
      </c>
      <c r="K87" s="5" t="n">
        <f aca="false">IF(OR(J87&gt;1.05,J87&lt;0.95),1,0)</f>
        <v>0</v>
      </c>
    </row>
    <row r="88" customFormat="false" ht="13.8" hidden="false" customHeight="false" outlineLevel="0" collapsed="false">
      <c r="A88" s="0" t="n">
        <v>0.9</v>
      </c>
      <c r="B88" s="0" t="n">
        <v>0.1</v>
      </c>
      <c r="C88" s="0" t="n">
        <v>0.1</v>
      </c>
      <c r="D88" s="0" t="n">
        <v>0.25</v>
      </c>
      <c r="E88" s="0" t="n">
        <v>0.15</v>
      </c>
      <c r="F88" s="0" t="n">
        <v>0.3</v>
      </c>
      <c r="G88" s="0" t="n">
        <v>0.9</v>
      </c>
      <c r="H88" s="0" t="n">
        <v>1</v>
      </c>
      <c r="I88" s="5" t="n">
        <f aca="false">(A88*B88*C88*D88*E88/(1+D88*E88)+C88*(C88-F88*G88))*H88</f>
        <v>-0.0166746987951807</v>
      </c>
      <c r="J88" s="0" t="n">
        <f aca="false">EXP(I88)</f>
        <v>0.983463554484235</v>
      </c>
      <c r="K88" s="5" t="n">
        <f aca="false">IF(OR(J88&gt;1.05,J88&lt;0.95),1,0)</f>
        <v>0</v>
      </c>
    </row>
    <row r="89" customFormat="false" ht="13.8" hidden="false" customHeight="false" outlineLevel="0" collapsed="false">
      <c r="A89" s="0" t="n">
        <v>0.9</v>
      </c>
      <c r="B89" s="0" t="n">
        <v>0.1</v>
      </c>
      <c r="C89" s="0" t="n">
        <v>0.1</v>
      </c>
      <c r="D89" s="0" t="n">
        <v>0.25</v>
      </c>
      <c r="E89" s="0" t="n">
        <v>0.15</v>
      </c>
      <c r="F89" s="0" t="n">
        <v>0.3</v>
      </c>
      <c r="G89" s="0" t="n">
        <v>0.9</v>
      </c>
      <c r="H89" s="0" t="n">
        <v>10</v>
      </c>
      <c r="I89" s="5" t="n">
        <f aca="false">(A89*B89*C89*D89*E89/(1+D89*E89)+C89*(C89-F89*G89))*H89</f>
        <v>-0.166746987951807</v>
      </c>
      <c r="J89" s="0" t="n">
        <f aca="false">EXP(I89)</f>
        <v>0.846413737121092</v>
      </c>
      <c r="K89" s="5" t="n">
        <f aca="false">IF(OR(J89&gt;1.05,J89&lt;0.95),1,0)</f>
        <v>1</v>
      </c>
    </row>
    <row r="90" customFormat="false" ht="13.8" hidden="false" customHeight="false" outlineLevel="0" collapsed="false">
      <c r="A90" s="0" t="n">
        <v>0.9</v>
      </c>
      <c r="B90" s="0" t="n">
        <v>0.1</v>
      </c>
      <c r="C90" s="0" t="n">
        <v>0.3</v>
      </c>
      <c r="D90" s="0" t="n">
        <v>0.25</v>
      </c>
      <c r="E90" s="0" t="n">
        <v>0.03</v>
      </c>
      <c r="F90" s="0" t="n">
        <v>0.1</v>
      </c>
      <c r="G90" s="0" t="n">
        <v>0.5</v>
      </c>
      <c r="H90" s="0" t="n">
        <v>1</v>
      </c>
      <c r="I90" s="5" t="n">
        <f aca="false">(A90*B90*C90*D90*E90/(1+D90*E90)+C90*(C90-F90*G90))*H90</f>
        <v>0.0752009925558313</v>
      </c>
      <c r="J90" s="0" t="n">
        <f aca="false">EXP(I90)</f>
        <v>1.07810081934865</v>
      </c>
      <c r="K90" s="5" t="n">
        <f aca="false">IF(OR(J90&gt;1.05,J90&lt;0.95),1,0)</f>
        <v>1</v>
      </c>
    </row>
    <row r="91" customFormat="false" ht="13.8" hidden="false" customHeight="false" outlineLevel="0" collapsed="false">
      <c r="A91" s="0" t="n">
        <v>0.9</v>
      </c>
      <c r="B91" s="0" t="n">
        <v>0.1</v>
      </c>
      <c r="C91" s="0" t="n">
        <v>0.3</v>
      </c>
      <c r="D91" s="0" t="n">
        <v>0.25</v>
      </c>
      <c r="E91" s="0" t="n">
        <v>0.03</v>
      </c>
      <c r="F91" s="0" t="n">
        <v>0.1</v>
      </c>
      <c r="G91" s="0" t="n">
        <v>0.5</v>
      </c>
      <c r="H91" s="0" t="n">
        <v>10</v>
      </c>
      <c r="I91" s="5" t="n">
        <f aca="false">(A91*B91*C91*D91*E91/(1+D91*E91)+C91*(C91-F91*G91))*H91</f>
        <v>0.752009925558313</v>
      </c>
      <c r="J91" s="0" t="n">
        <f aca="false">EXP(I91)</f>
        <v>2.12125930804848</v>
      </c>
      <c r="K91" s="5" t="n">
        <f aca="false">IF(OR(J91&gt;1.05,J91&lt;0.95),1,0)</f>
        <v>1</v>
      </c>
    </row>
    <row r="92" customFormat="false" ht="13.8" hidden="false" customHeight="false" outlineLevel="0" collapsed="false">
      <c r="A92" s="0" t="n">
        <v>0.9</v>
      </c>
      <c r="B92" s="0" t="n">
        <v>0.1</v>
      </c>
      <c r="C92" s="0" t="n">
        <v>0.3</v>
      </c>
      <c r="D92" s="0" t="n">
        <v>0.25</v>
      </c>
      <c r="E92" s="0" t="n">
        <v>0.03</v>
      </c>
      <c r="F92" s="0" t="n">
        <v>0.1</v>
      </c>
      <c r="G92" s="0" t="n">
        <v>0.9</v>
      </c>
      <c r="H92" s="0" t="n">
        <v>1</v>
      </c>
      <c r="I92" s="5" t="n">
        <f aca="false">(A92*B92*C92*D92*E92/(1+D92*E92)+C92*(C92-F92*G92))*H92</f>
        <v>0.0632009925558313</v>
      </c>
      <c r="J92" s="0" t="n">
        <f aca="false">EXP(I92)</f>
        <v>1.06524092321167</v>
      </c>
      <c r="K92" s="5" t="n">
        <f aca="false">IF(OR(J92&gt;1.05,J92&lt;0.95),1,0)</f>
        <v>1</v>
      </c>
    </row>
    <row r="93" customFormat="false" ht="13.8" hidden="false" customHeight="false" outlineLevel="0" collapsed="false">
      <c r="A93" s="0" t="n">
        <v>0.9</v>
      </c>
      <c r="B93" s="0" t="n">
        <v>0.1</v>
      </c>
      <c r="C93" s="0" t="n">
        <v>0.3</v>
      </c>
      <c r="D93" s="0" t="n">
        <v>0.25</v>
      </c>
      <c r="E93" s="0" t="n">
        <v>0.03</v>
      </c>
      <c r="F93" s="0" t="n">
        <v>0.1</v>
      </c>
      <c r="G93" s="0" t="n">
        <v>0.9</v>
      </c>
      <c r="H93" s="0" t="n">
        <v>10</v>
      </c>
      <c r="I93" s="5" t="n">
        <f aca="false">(A93*B93*C93*D93*E93/(1+D93*E93)+C93*(C93-F93*G93))*H93</f>
        <v>0.632009925558313</v>
      </c>
      <c r="J93" s="0" t="n">
        <f aca="false">EXP(I93)</f>
        <v>1.88138823188469</v>
      </c>
      <c r="K93" s="5" t="n">
        <f aca="false">IF(OR(J93&gt;1.05,J93&lt;0.95),1,0)</f>
        <v>1</v>
      </c>
    </row>
    <row r="94" customFormat="false" ht="13.8" hidden="false" customHeight="false" outlineLevel="0" collapsed="false">
      <c r="A94" s="0" t="n">
        <v>0.9</v>
      </c>
      <c r="B94" s="0" t="n">
        <v>0.1</v>
      </c>
      <c r="C94" s="0" t="n">
        <v>0.3</v>
      </c>
      <c r="D94" s="0" t="n">
        <v>0.25</v>
      </c>
      <c r="E94" s="0" t="n">
        <v>0.03</v>
      </c>
      <c r="F94" s="0" t="n">
        <v>0.3</v>
      </c>
      <c r="G94" s="0" t="n">
        <v>0.5</v>
      </c>
      <c r="H94" s="0" t="n">
        <v>1</v>
      </c>
      <c r="I94" s="5" t="n">
        <f aca="false">(A94*B94*C94*D94*E94/(1+D94*E94)+C94*(C94-F94*G94))*H94</f>
        <v>0.0452009925558313</v>
      </c>
      <c r="J94" s="0" t="n">
        <f aca="false">EXP(I94)</f>
        <v>1.04623812485189</v>
      </c>
      <c r="K94" s="5" t="n">
        <f aca="false">IF(OR(J94&gt;1.05,J94&lt;0.95),1,0)</f>
        <v>0</v>
      </c>
    </row>
    <row r="95" customFormat="false" ht="13.8" hidden="false" customHeight="false" outlineLevel="0" collapsed="false">
      <c r="A95" s="0" t="n">
        <v>0.9</v>
      </c>
      <c r="B95" s="0" t="n">
        <v>0.1</v>
      </c>
      <c r="C95" s="0" t="n">
        <v>0.3</v>
      </c>
      <c r="D95" s="0" t="n">
        <v>0.25</v>
      </c>
      <c r="E95" s="0" t="n">
        <v>0.03</v>
      </c>
      <c r="F95" s="0" t="n">
        <v>0.3</v>
      </c>
      <c r="G95" s="0" t="n">
        <v>0.5</v>
      </c>
      <c r="H95" s="0" t="n">
        <v>10</v>
      </c>
      <c r="I95" s="5" t="n">
        <f aca="false">(A95*B95*C95*D95*E95/(1+D95*E95)+C95*(C95-F95*G95))*H95</f>
        <v>0.452009925558313</v>
      </c>
      <c r="J95" s="0" t="n">
        <f aca="false">EXP(I95)</f>
        <v>1.57146754619301</v>
      </c>
      <c r="K95" s="5" t="n">
        <f aca="false">IF(OR(J95&gt;1.05,J95&lt;0.95),1,0)</f>
        <v>1</v>
      </c>
    </row>
    <row r="96" customFormat="false" ht="13.8" hidden="false" customHeight="false" outlineLevel="0" collapsed="false">
      <c r="A96" s="0" t="n">
        <v>0.9</v>
      </c>
      <c r="B96" s="0" t="n">
        <v>0.1</v>
      </c>
      <c r="C96" s="0" t="n">
        <v>0.3</v>
      </c>
      <c r="D96" s="0" t="n">
        <v>0.25</v>
      </c>
      <c r="E96" s="0" t="n">
        <v>0.03</v>
      </c>
      <c r="F96" s="0" t="n">
        <v>0.3</v>
      </c>
      <c r="G96" s="0" t="n">
        <v>0.9</v>
      </c>
      <c r="H96" s="0" t="n">
        <v>1</v>
      </c>
      <c r="I96" s="5" t="n">
        <f aca="false">(A96*B96*C96*D96*E96/(1+D96*E96)+C96*(C96-F96*G96))*H96</f>
        <v>0.00920099255583126</v>
      </c>
      <c r="J96" s="0" t="n">
        <f aca="false">EXP(I96)</f>
        <v>1.00924345181036</v>
      </c>
      <c r="K96" s="5" t="n">
        <f aca="false">IF(OR(J96&gt;1.05,J96&lt;0.95),1,0)</f>
        <v>0</v>
      </c>
    </row>
    <row r="97" customFormat="false" ht="13.8" hidden="false" customHeight="false" outlineLevel="0" collapsed="false">
      <c r="A97" s="0" t="n">
        <v>0.9</v>
      </c>
      <c r="B97" s="0" t="n">
        <v>0.1</v>
      </c>
      <c r="C97" s="0" t="n">
        <v>0.3</v>
      </c>
      <c r="D97" s="0" t="n">
        <v>0.25</v>
      </c>
      <c r="E97" s="0" t="n">
        <v>0.03</v>
      </c>
      <c r="F97" s="0" t="n">
        <v>0.3</v>
      </c>
      <c r="G97" s="0" t="n">
        <v>0.9</v>
      </c>
      <c r="H97" s="0" t="n">
        <v>10</v>
      </c>
      <c r="I97" s="5" t="n">
        <f aca="false">(A97*B97*C97*D97*E97/(1+D97*E97)+C97*(C97-F97*G97))*H97</f>
        <v>0.0920099255583126</v>
      </c>
      <c r="J97" s="0" t="n">
        <f aca="false">EXP(I97)</f>
        <v>1.0963757041678</v>
      </c>
      <c r="K97" s="5" t="n">
        <f aca="false">IF(OR(J97&gt;1.05,J97&lt;0.95),1,0)</f>
        <v>1</v>
      </c>
    </row>
    <row r="98" customFormat="false" ht="13.8" hidden="false" customHeight="false" outlineLevel="0" collapsed="false">
      <c r="A98" s="0" t="n">
        <v>0.9</v>
      </c>
      <c r="B98" s="0" t="n">
        <v>0.1</v>
      </c>
      <c r="C98" s="0" t="n">
        <v>0.3</v>
      </c>
      <c r="D98" s="0" t="n">
        <v>0.25</v>
      </c>
      <c r="E98" s="0" t="n">
        <v>0.15</v>
      </c>
      <c r="F98" s="0" t="n">
        <v>0.1</v>
      </c>
      <c r="G98" s="0" t="n">
        <v>0.5</v>
      </c>
      <c r="H98" s="0" t="n">
        <v>1</v>
      </c>
      <c r="I98" s="5" t="n">
        <f aca="false">(A98*B98*C98*D98*E98/(1+D98*E98)+C98*(C98-F98*G98))*H98</f>
        <v>0.0759759036144579</v>
      </c>
      <c r="J98" s="0" t="n">
        <f aca="false">EXP(I98)</f>
        <v>1.07893657537235</v>
      </c>
      <c r="K98" s="5" t="n">
        <f aca="false">IF(OR(J98&gt;1.05,J98&lt;0.95),1,0)</f>
        <v>1</v>
      </c>
    </row>
    <row r="99" customFormat="false" ht="13.8" hidden="false" customHeight="false" outlineLevel="0" collapsed="false">
      <c r="A99" s="0" t="n">
        <v>0.9</v>
      </c>
      <c r="B99" s="0" t="n">
        <v>0.1</v>
      </c>
      <c r="C99" s="0" t="n">
        <v>0.3</v>
      </c>
      <c r="D99" s="0" t="n">
        <v>0.25</v>
      </c>
      <c r="E99" s="0" t="n">
        <v>0.15</v>
      </c>
      <c r="F99" s="0" t="n">
        <v>0.1</v>
      </c>
      <c r="G99" s="0" t="n">
        <v>0.5</v>
      </c>
      <c r="H99" s="0" t="n">
        <v>10</v>
      </c>
      <c r="I99" s="5" t="n">
        <f aca="false">(A99*B99*C99*D99*E99/(1+D99*E99)+C99*(C99-F99*G99))*H99</f>
        <v>0.759759036144579</v>
      </c>
      <c r="J99" s="0" t="n">
        <f aca="false">EXP(I99)</f>
        <v>2.13776103528777</v>
      </c>
      <c r="K99" s="5" t="n">
        <f aca="false">IF(OR(J99&gt;1.05,J99&lt;0.95),1,0)</f>
        <v>1</v>
      </c>
    </row>
    <row r="100" customFormat="false" ht="13.8" hidden="false" customHeight="false" outlineLevel="0" collapsed="false">
      <c r="A100" s="0" t="n">
        <v>0.9</v>
      </c>
      <c r="B100" s="0" t="n">
        <v>0.1</v>
      </c>
      <c r="C100" s="0" t="n">
        <v>0.3</v>
      </c>
      <c r="D100" s="0" t="n">
        <v>0.25</v>
      </c>
      <c r="E100" s="0" t="n">
        <v>0.15</v>
      </c>
      <c r="F100" s="0" t="n">
        <v>0.1</v>
      </c>
      <c r="G100" s="0" t="n">
        <v>0.9</v>
      </c>
      <c r="H100" s="0" t="n">
        <v>1</v>
      </c>
      <c r="I100" s="5" t="n">
        <f aca="false">(A100*B100*C100*D100*E100/(1+D100*E100)+C100*(C100-F100*G100))*H100</f>
        <v>0.0639759036144578</v>
      </c>
      <c r="J100" s="0" t="n">
        <f aca="false">EXP(I100)</f>
        <v>1.06606671009754</v>
      </c>
      <c r="K100" s="5" t="n">
        <f aca="false">IF(OR(J100&gt;1.05,J100&lt;0.95),1,0)</f>
        <v>1</v>
      </c>
    </row>
    <row r="101" customFormat="false" ht="13.8" hidden="false" customHeight="false" outlineLevel="0" collapsed="false">
      <c r="A101" s="0" t="n">
        <v>0.9</v>
      </c>
      <c r="B101" s="0" t="n">
        <v>0.1</v>
      </c>
      <c r="C101" s="0" t="n">
        <v>0.3</v>
      </c>
      <c r="D101" s="0" t="n">
        <v>0.25</v>
      </c>
      <c r="E101" s="0" t="n">
        <v>0.15</v>
      </c>
      <c r="F101" s="0" t="n">
        <v>0.1</v>
      </c>
      <c r="G101" s="0" t="n">
        <v>0.9</v>
      </c>
      <c r="H101" s="0" t="n">
        <v>10</v>
      </c>
      <c r="I101" s="5" t="n">
        <f aca="false">(A101*B101*C101*D101*E101/(1+D101*E101)+C101*(C101-F101*G101))*H101</f>
        <v>0.639759036144578</v>
      </c>
      <c r="J101" s="0" t="n">
        <f aca="false">EXP(I101)</f>
        <v>1.89602395101435</v>
      </c>
      <c r="K101" s="5" t="n">
        <f aca="false">IF(OR(J101&gt;1.05,J101&lt;0.95),1,0)</f>
        <v>1</v>
      </c>
    </row>
    <row r="102" customFormat="false" ht="13.8" hidden="false" customHeight="false" outlineLevel="0" collapsed="false">
      <c r="A102" s="0" t="n">
        <v>0.9</v>
      </c>
      <c r="B102" s="0" t="n">
        <v>0.1</v>
      </c>
      <c r="C102" s="0" t="n">
        <v>0.3</v>
      </c>
      <c r="D102" s="0" t="n">
        <v>0.25</v>
      </c>
      <c r="E102" s="0" t="n">
        <v>0.15</v>
      </c>
      <c r="F102" s="0" t="n">
        <v>0.3</v>
      </c>
      <c r="G102" s="0" t="n">
        <v>0.5</v>
      </c>
      <c r="H102" s="0" t="n">
        <v>1</v>
      </c>
      <c r="I102" s="5" t="n">
        <f aca="false">(A102*B102*C102*D102*E102/(1+D102*E102)+C102*(C102-F102*G102))*H102</f>
        <v>0.0459759036144579</v>
      </c>
      <c r="J102" s="0" t="n">
        <f aca="false">EXP(I102)</f>
        <v>1.04704918055222</v>
      </c>
      <c r="K102" s="5" t="n">
        <f aca="false">IF(OR(J102&gt;1.05,J102&lt;0.95),1,0)</f>
        <v>0</v>
      </c>
    </row>
    <row r="103" customFormat="false" ht="13.8" hidden="false" customHeight="false" outlineLevel="0" collapsed="false">
      <c r="A103" s="0" t="n">
        <v>0.9</v>
      </c>
      <c r="B103" s="0" t="n">
        <v>0.1</v>
      </c>
      <c r="C103" s="0" t="n">
        <v>0.3</v>
      </c>
      <c r="D103" s="0" t="n">
        <v>0.25</v>
      </c>
      <c r="E103" s="0" t="n">
        <v>0.15</v>
      </c>
      <c r="F103" s="0" t="n">
        <v>0.3</v>
      </c>
      <c r="G103" s="0" t="n">
        <v>0.5</v>
      </c>
      <c r="H103" s="0" t="n">
        <v>10</v>
      </c>
      <c r="I103" s="5" t="n">
        <f aca="false">(A103*B103*C103*D103*E103/(1+D103*E103)+C103*(C103-F103*G103))*H103</f>
        <v>0.459759036144579</v>
      </c>
      <c r="J103" s="0" t="n">
        <f aca="false">EXP(I103)</f>
        <v>1.58369232640459</v>
      </c>
      <c r="K103" s="5" t="n">
        <f aca="false">IF(OR(J103&gt;1.05,J103&lt;0.95),1,0)</f>
        <v>1</v>
      </c>
    </row>
    <row r="104" customFormat="false" ht="13.8" hidden="false" customHeight="false" outlineLevel="0" collapsed="false">
      <c r="A104" s="0" t="n">
        <v>0.9</v>
      </c>
      <c r="B104" s="0" t="n">
        <v>0.1</v>
      </c>
      <c r="C104" s="0" t="n">
        <v>0.3</v>
      </c>
      <c r="D104" s="0" t="n">
        <v>0.25</v>
      </c>
      <c r="E104" s="0" t="n">
        <v>0.15</v>
      </c>
      <c r="F104" s="0" t="n">
        <v>0.3</v>
      </c>
      <c r="G104" s="0" t="n">
        <v>0.9</v>
      </c>
      <c r="H104" s="0" t="n">
        <v>1</v>
      </c>
      <c r="I104" s="5" t="n">
        <f aca="false">(A104*B104*C104*D104*E104/(1+D104*E104)+C104*(C104-F104*G104))*H104</f>
        <v>0.00997590361445782</v>
      </c>
      <c r="J104" s="0" t="n">
        <f aca="false">EXP(I104)</f>
        <v>1.01002582881916</v>
      </c>
      <c r="K104" s="5" t="n">
        <f aca="false">IF(OR(J104&gt;1.05,J104&lt;0.95),1,0)</f>
        <v>0</v>
      </c>
    </row>
    <row r="105" customFormat="false" ht="13.8" hidden="false" customHeight="false" outlineLevel="0" collapsed="false">
      <c r="A105" s="0" t="n">
        <v>0.9</v>
      </c>
      <c r="B105" s="0" t="n">
        <v>0.1</v>
      </c>
      <c r="C105" s="0" t="n">
        <v>0.3</v>
      </c>
      <c r="D105" s="0" t="n">
        <v>0.25</v>
      </c>
      <c r="E105" s="0" t="n">
        <v>0.15</v>
      </c>
      <c r="F105" s="0" t="n">
        <v>0.3</v>
      </c>
      <c r="G105" s="0" t="n">
        <v>0.9</v>
      </c>
      <c r="H105" s="0" t="n">
        <v>10</v>
      </c>
      <c r="I105" s="5" t="n">
        <f aca="false">(A105*B105*C105*D105*E105/(1+D105*E105)+C105*(C105-F105*G105))*H105</f>
        <v>0.0997590361445782</v>
      </c>
      <c r="J105" s="0" t="n">
        <f aca="false">EXP(I105)</f>
        <v>1.10490464391284</v>
      </c>
      <c r="K105" s="5" t="n">
        <f aca="false">IF(OR(J105&gt;1.05,J105&lt;0.95),1,0)</f>
        <v>1</v>
      </c>
    </row>
    <row r="106" customFormat="false" ht="13.8" hidden="false" customHeight="false" outlineLevel="0" collapsed="false">
      <c r="A106" s="0" t="n">
        <v>0.9</v>
      </c>
      <c r="B106" s="0" t="n">
        <v>0.3</v>
      </c>
      <c r="C106" s="0" t="n">
        <v>0.1</v>
      </c>
      <c r="D106" s="0" t="n">
        <v>0.25</v>
      </c>
      <c r="E106" s="0" t="n">
        <v>0.03</v>
      </c>
      <c r="F106" s="0" t="n">
        <v>0.1</v>
      </c>
      <c r="G106" s="0" t="n">
        <v>0.5</v>
      </c>
      <c r="H106" s="0" t="n">
        <v>1</v>
      </c>
      <c r="I106" s="5" t="n">
        <f aca="false">(A106*B106*C106*D106*E106/(1+D106*E106)+C106*(C106-F106*G106))*H106</f>
        <v>0.00520099255583127</v>
      </c>
      <c r="J106" s="0" t="n">
        <f aca="false">EXP(I106)</f>
        <v>1.00521454119622</v>
      </c>
      <c r="K106" s="5" t="n">
        <f aca="false">IF(OR(J106&gt;1.05,J106&lt;0.95),1,0)</f>
        <v>0</v>
      </c>
    </row>
    <row r="107" customFormat="false" ht="13.8" hidden="false" customHeight="false" outlineLevel="0" collapsed="false">
      <c r="A107" s="0" t="n">
        <v>0.9</v>
      </c>
      <c r="B107" s="0" t="n">
        <v>0.3</v>
      </c>
      <c r="C107" s="0" t="n">
        <v>0.1</v>
      </c>
      <c r="D107" s="0" t="n">
        <v>0.25</v>
      </c>
      <c r="E107" s="0" t="n">
        <v>0.03</v>
      </c>
      <c r="F107" s="0" t="n">
        <v>0.1</v>
      </c>
      <c r="G107" s="0" t="n">
        <v>0.5</v>
      </c>
      <c r="H107" s="0" t="n">
        <v>10</v>
      </c>
      <c r="I107" s="5" t="n">
        <f aca="false">(A107*B107*C107*D107*E107/(1+D107*E107)+C107*(C107-F107*G107))*H107</f>
        <v>0.0520099255583127</v>
      </c>
      <c r="J107" s="0" t="n">
        <f aca="false">EXP(I107)</f>
        <v>1.05338619790761</v>
      </c>
      <c r="K107" s="5" t="n">
        <f aca="false">IF(OR(J107&gt;1.05,J107&lt;0.95),1,0)</f>
        <v>1</v>
      </c>
    </row>
    <row r="108" customFormat="false" ht="13.8" hidden="false" customHeight="false" outlineLevel="0" collapsed="false">
      <c r="A108" s="0" t="n">
        <v>0.9</v>
      </c>
      <c r="B108" s="0" t="n">
        <v>0.3</v>
      </c>
      <c r="C108" s="0" t="n">
        <v>0.1</v>
      </c>
      <c r="D108" s="0" t="n">
        <v>0.25</v>
      </c>
      <c r="E108" s="0" t="n">
        <v>0.03</v>
      </c>
      <c r="F108" s="0" t="n">
        <v>0.1</v>
      </c>
      <c r="G108" s="0" t="n">
        <v>0.9</v>
      </c>
      <c r="H108" s="0" t="n">
        <v>1</v>
      </c>
      <c r="I108" s="5" t="n">
        <f aca="false">(A108*B108*C108*D108*E108/(1+D108*E108)+C108*(C108-F108*G108))*H108</f>
        <v>0.00120099255583127</v>
      </c>
      <c r="J108" s="0" t="n">
        <f aca="false">EXP(I108)</f>
        <v>1.00120171403619</v>
      </c>
      <c r="K108" s="5" t="n">
        <f aca="false">IF(OR(J108&gt;1.05,J108&lt;0.95),1,0)</f>
        <v>0</v>
      </c>
    </row>
    <row r="109" customFormat="false" ht="13.8" hidden="false" customHeight="false" outlineLevel="0" collapsed="false">
      <c r="A109" s="0" t="n">
        <v>0.9</v>
      </c>
      <c r="B109" s="0" t="n">
        <v>0.3</v>
      </c>
      <c r="C109" s="0" t="n">
        <v>0.1</v>
      </c>
      <c r="D109" s="0" t="n">
        <v>0.25</v>
      </c>
      <c r="E109" s="0" t="n">
        <v>0.03</v>
      </c>
      <c r="F109" s="0" t="n">
        <v>0.1</v>
      </c>
      <c r="G109" s="0" t="n">
        <v>0.9</v>
      </c>
      <c r="H109" s="0" t="n">
        <v>10</v>
      </c>
      <c r="I109" s="5" t="n">
        <f aca="false">(A109*B109*C109*D109*E109/(1+D109*E109)+C109*(C109-F109*G109))*H109</f>
        <v>0.0120099255583127</v>
      </c>
      <c r="J109" s="0" t="n">
        <f aca="false">EXP(I109)</f>
        <v>1.01208233429845</v>
      </c>
      <c r="K109" s="5" t="n">
        <f aca="false">IF(OR(J109&gt;1.05,J109&lt;0.95),1,0)</f>
        <v>0</v>
      </c>
    </row>
    <row r="110" customFormat="false" ht="13.8" hidden="false" customHeight="false" outlineLevel="0" collapsed="false">
      <c r="A110" s="0" t="n">
        <v>0.9</v>
      </c>
      <c r="B110" s="0" t="n">
        <v>0.3</v>
      </c>
      <c r="C110" s="0" t="n">
        <v>0.1</v>
      </c>
      <c r="D110" s="0" t="n">
        <v>0.25</v>
      </c>
      <c r="E110" s="0" t="n">
        <v>0.03</v>
      </c>
      <c r="F110" s="0" t="n">
        <v>0.3</v>
      </c>
      <c r="G110" s="0" t="n">
        <v>0.5</v>
      </c>
      <c r="H110" s="0" t="n">
        <v>1</v>
      </c>
      <c r="I110" s="5" t="n">
        <f aca="false">(A110*B110*C110*D110*E110/(1+D110*E110)+C110*(C110-F110*G110))*H110</f>
        <v>-0.00479900744416874</v>
      </c>
      <c r="J110" s="0" t="n">
        <f aca="false">EXP(I110)</f>
        <v>0.995212489393567</v>
      </c>
      <c r="K110" s="5" t="n">
        <f aca="false">IF(OR(J110&gt;1.05,J110&lt;0.95),1,0)</f>
        <v>0</v>
      </c>
    </row>
    <row r="111" customFormat="false" ht="13.8" hidden="false" customHeight="false" outlineLevel="0" collapsed="false">
      <c r="A111" s="0" t="n">
        <v>0.9</v>
      </c>
      <c r="B111" s="0" t="n">
        <v>0.3</v>
      </c>
      <c r="C111" s="0" t="n">
        <v>0.1</v>
      </c>
      <c r="D111" s="0" t="n">
        <v>0.25</v>
      </c>
      <c r="E111" s="0" t="n">
        <v>0.03</v>
      </c>
      <c r="F111" s="0" t="n">
        <v>0.3</v>
      </c>
      <c r="G111" s="0" t="n">
        <v>0.5</v>
      </c>
      <c r="H111" s="0" t="n">
        <v>10</v>
      </c>
      <c r="I111" s="5" t="n">
        <f aca="false">(A111*B111*C111*D111*E111/(1+D111*E111)+C111*(C111-F111*G111))*H111</f>
        <v>-0.0479900744416874</v>
      </c>
      <c r="J111" s="0" t="n">
        <f aca="false">EXP(I111)</f>
        <v>0.953143247509438</v>
      </c>
      <c r="K111" s="5" t="n">
        <f aca="false">IF(OR(J111&gt;1.05,J111&lt;0.95),1,0)</f>
        <v>0</v>
      </c>
    </row>
    <row r="112" customFormat="false" ht="13.8" hidden="false" customHeight="false" outlineLevel="0" collapsed="false">
      <c r="A112" s="0" t="n">
        <v>0.9</v>
      </c>
      <c r="B112" s="0" t="n">
        <v>0.3</v>
      </c>
      <c r="C112" s="0" t="n">
        <v>0.1</v>
      </c>
      <c r="D112" s="0" t="n">
        <v>0.25</v>
      </c>
      <c r="E112" s="0" t="n">
        <v>0.03</v>
      </c>
      <c r="F112" s="0" t="n">
        <v>0.3</v>
      </c>
      <c r="G112" s="0" t="n">
        <v>0.9</v>
      </c>
      <c r="H112" s="0" t="n">
        <v>1</v>
      </c>
      <c r="I112" s="5" t="n">
        <f aca="false">(A112*B112*C112*D112*E112/(1+D112*E112)+C112*(C112-F112*G112))*H112</f>
        <v>-0.0167990074441687</v>
      </c>
      <c r="J112" s="0" t="n">
        <f aca="false">EXP(I112)</f>
        <v>0.983341309056687</v>
      </c>
      <c r="K112" s="5" t="n">
        <f aca="false">IF(OR(J112&gt;1.05,J112&lt;0.95),1,0)</f>
        <v>0</v>
      </c>
    </row>
    <row r="113" customFormat="false" ht="13.8" hidden="false" customHeight="false" outlineLevel="0" collapsed="false">
      <c r="A113" s="0" t="n">
        <v>0.9</v>
      </c>
      <c r="B113" s="0" t="n">
        <v>0.3</v>
      </c>
      <c r="C113" s="0" t="n">
        <v>0.1</v>
      </c>
      <c r="D113" s="0" t="n">
        <v>0.25</v>
      </c>
      <c r="E113" s="0" t="n">
        <v>0.03</v>
      </c>
      <c r="F113" s="0" t="n">
        <v>0.3</v>
      </c>
      <c r="G113" s="0" t="n">
        <v>0.9</v>
      </c>
      <c r="H113" s="0" t="n">
        <v>10</v>
      </c>
      <c r="I113" s="5" t="n">
        <f aca="false">(A113*B113*C113*D113*E113/(1+D113*E113)+C113*(C113-F113*G113))*H113</f>
        <v>-0.167990074441687</v>
      </c>
      <c r="J113" s="0" t="n">
        <f aca="false">EXP(I113)</f>
        <v>0.84536222533508</v>
      </c>
      <c r="K113" s="5" t="n">
        <f aca="false">IF(OR(J113&gt;1.05,J113&lt;0.95),1,0)</f>
        <v>1</v>
      </c>
    </row>
    <row r="114" customFormat="false" ht="13.8" hidden="false" customHeight="false" outlineLevel="0" collapsed="false">
      <c r="A114" s="0" t="n">
        <v>0.9</v>
      </c>
      <c r="B114" s="0" t="n">
        <v>0.3</v>
      </c>
      <c r="C114" s="0" t="n">
        <v>0.1</v>
      </c>
      <c r="D114" s="0" t="n">
        <v>0.25</v>
      </c>
      <c r="E114" s="0" t="n">
        <v>0.15</v>
      </c>
      <c r="F114" s="0" t="n">
        <v>0.1</v>
      </c>
      <c r="G114" s="0" t="n">
        <v>0.5</v>
      </c>
      <c r="H114" s="0" t="n">
        <v>1</v>
      </c>
      <c r="I114" s="5" t="n">
        <f aca="false">(A114*B114*C114*D114*E114/(1+D114*E114)+C114*(C114-F114*G114))*H114</f>
        <v>0.00597590361445783</v>
      </c>
      <c r="J114" s="0" t="n">
        <f aca="false">EXP(I114)</f>
        <v>1.00599379494767</v>
      </c>
      <c r="K114" s="5" t="n">
        <f aca="false">IF(OR(J114&gt;1.05,J114&lt;0.95),1,0)</f>
        <v>0</v>
      </c>
    </row>
    <row r="115" customFormat="false" ht="13.8" hidden="false" customHeight="false" outlineLevel="0" collapsed="false">
      <c r="A115" s="0" t="n">
        <v>0.9</v>
      </c>
      <c r="B115" s="0" t="n">
        <v>0.3</v>
      </c>
      <c r="C115" s="0" t="n">
        <v>0.1</v>
      </c>
      <c r="D115" s="0" t="n">
        <v>0.25</v>
      </c>
      <c r="E115" s="0" t="n">
        <v>0.15</v>
      </c>
      <c r="F115" s="0" t="n">
        <v>0.1</v>
      </c>
      <c r="G115" s="0" t="n">
        <v>0.5</v>
      </c>
      <c r="H115" s="0" t="n">
        <v>10</v>
      </c>
      <c r="I115" s="5" t="n">
        <f aca="false">(A115*B115*C115*D115*E115/(1+D115*E115)+C115*(C115-F115*G115))*H115</f>
        <v>0.0597590361445783</v>
      </c>
      <c r="J115" s="0" t="n">
        <f aca="false">EXP(I115)</f>
        <v>1.06158071314182</v>
      </c>
      <c r="K115" s="5" t="n">
        <f aca="false">IF(OR(J115&gt;1.05,J115&lt;0.95),1,0)</f>
        <v>1</v>
      </c>
    </row>
    <row r="116" customFormat="false" ht="13.8" hidden="false" customHeight="false" outlineLevel="0" collapsed="false">
      <c r="A116" s="0" t="n">
        <v>0.9</v>
      </c>
      <c r="B116" s="0" t="n">
        <v>0.3</v>
      </c>
      <c r="C116" s="0" t="n">
        <v>0.1</v>
      </c>
      <c r="D116" s="0" t="n">
        <v>0.25</v>
      </c>
      <c r="E116" s="0" t="n">
        <v>0.15</v>
      </c>
      <c r="F116" s="0" t="n">
        <v>0.1</v>
      </c>
      <c r="G116" s="0" t="n">
        <v>0.9</v>
      </c>
      <c r="H116" s="0" t="n">
        <v>1</v>
      </c>
      <c r="I116" s="5" t="n">
        <f aca="false">(A116*B116*C116*D116*E116/(1+D116*E116)+C116*(C116-F116*G116))*H116</f>
        <v>0.00197590361445783</v>
      </c>
      <c r="J116" s="0" t="n">
        <f aca="false">EXP(I116)</f>
        <v>1.00197785699836</v>
      </c>
      <c r="K116" s="5" t="n">
        <f aca="false">IF(OR(J116&gt;1.05,J116&lt;0.95),1,0)</f>
        <v>0</v>
      </c>
    </row>
    <row r="117" customFormat="false" ht="13.8" hidden="false" customHeight="false" outlineLevel="0" collapsed="false">
      <c r="A117" s="0" t="n">
        <v>0.9</v>
      </c>
      <c r="B117" s="0" t="n">
        <v>0.3</v>
      </c>
      <c r="C117" s="0" t="n">
        <v>0.1</v>
      </c>
      <c r="D117" s="0" t="n">
        <v>0.25</v>
      </c>
      <c r="E117" s="0" t="n">
        <v>0.15</v>
      </c>
      <c r="F117" s="0" t="n">
        <v>0.1</v>
      </c>
      <c r="G117" s="0" t="n">
        <v>0.9</v>
      </c>
      <c r="H117" s="0" t="n">
        <v>10</v>
      </c>
      <c r="I117" s="5" t="n">
        <f aca="false">(A117*B117*C117*D117*E117/(1+D117*E117)+C117*(C117-F117*G117))*H117</f>
        <v>0.0197590361445783</v>
      </c>
      <c r="J117" s="0" t="n">
        <f aca="false">EXP(I117)</f>
        <v>1.01995553799445</v>
      </c>
      <c r="K117" s="5" t="n">
        <f aca="false">IF(OR(J117&gt;1.05,J117&lt;0.95),1,0)</f>
        <v>0</v>
      </c>
    </row>
    <row r="118" customFormat="false" ht="13.8" hidden="false" customHeight="false" outlineLevel="0" collapsed="false">
      <c r="A118" s="0" t="n">
        <v>0.9</v>
      </c>
      <c r="B118" s="0" t="n">
        <v>0.3</v>
      </c>
      <c r="C118" s="0" t="n">
        <v>0.1</v>
      </c>
      <c r="D118" s="0" t="n">
        <v>0.25</v>
      </c>
      <c r="E118" s="0" t="n">
        <v>0.15</v>
      </c>
      <c r="F118" s="0" t="n">
        <v>0.3</v>
      </c>
      <c r="G118" s="0" t="n">
        <v>0.5</v>
      </c>
      <c r="H118" s="0" t="n">
        <v>1</v>
      </c>
      <c r="I118" s="5" t="n">
        <f aca="false">(A118*B118*C118*D118*E118/(1+D118*E118)+C118*(C118-F118*G118))*H118</f>
        <v>-0.00402409638554217</v>
      </c>
      <c r="J118" s="0" t="n">
        <f aca="false">EXP(I118)</f>
        <v>0.995983989440634</v>
      </c>
      <c r="K118" s="5" t="n">
        <f aca="false">IF(OR(J118&gt;1.05,J118&lt;0.95),1,0)</f>
        <v>0</v>
      </c>
    </row>
    <row r="119" customFormat="false" ht="13.8" hidden="false" customHeight="false" outlineLevel="0" collapsed="false">
      <c r="A119" s="0" t="n">
        <v>0.9</v>
      </c>
      <c r="B119" s="0" t="n">
        <v>0.3</v>
      </c>
      <c r="C119" s="0" t="n">
        <v>0.1</v>
      </c>
      <c r="D119" s="0" t="n">
        <v>0.25</v>
      </c>
      <c r="E119" s="0" t="n">
        <v>0.15</v>
      </c>
      <c r="F119" s="0" t="n">
        <v>0.3</v>
      </c>
      <c r="G119" s="0" t="n">
        <v>0.5</v>
      </c>
      <c r="H119" s="0" t="n">
        <v>10</v>
      </c>
      <c r="I119" s="5" t="n">
        <f aca="false">(A119*B119*C119*D119*E119/(1+D119*E119)+C119*(C119-F119*G119))*H119</f>
        <v>-0.0402409638554217</v>
      </c>
      <c r="J119" s="0" t="n">
        <f aca="false">EXP(I119)</f>
        <v>0.960557951516013</v>
      </c>
      <c r="K119" s="5" t="n">
        <f aca="false">IF(OR(J119&gt;1.05,J119&lt;0.95),1,0)</f>
        <v>0</v>
      </c>
    </row>
    <row r="120" customFormat="false" ht="13.8" hidden="false" customHeight="false" outlineLevel="0" collapsed="false">
      <c r="A120" s="0" t="n">
        <v>0.9</v>
      </c>
      <c r="B120" s="0" t="n">
        <v>0.3</v>
      </c>
      <c r="C120" s="0" t="n">
        <v>0.1</v>
      </c>
      <c r="D120" s="0" t="n">
        <v>0.25</v>
      </c>
      <c r="E120" s="0" t="n">
        <v>0.15</v>
      </c>
      <c r="F120" s="0" t="n">
        <v>0.3</v>
      </c>
      <c r="G120" s="0" t="n">
        <v>0.9</v>
      </c>
      <c r="H120" s="0" t="n">
        <v>1</v>
      </c>
      <c r="I120" s="5" t="n">
        <f aca="false">(A120*B120*C120*D120*E120/(1+D120*E120)+C120*(C120-F120*G120))*H120</f>
        <v>-0.0160240963855422</v>
      </c>
      <c r="J120" s="0" t="n">
        <f aca="false">EXP(I120)</f>
        <v>0.984103606429666</v>
      </c>
      <c r="K120" s="5" t="n">
        <f aca="false">IF(OR(J120&gt;1.05,J120&lt;0.95),1,0)</f>
        <v>0</v>
      </c>
    </row>
    <row r="121" customFormat="false" ht="13.8" hidden="false" customHeight="false" outlineLevel="0" collapsed="false">
      <c r="A121" s="0" t="n">
        <v>0.9</v>
      </c>
      <c r="B121" s="0" t="n">
        <v>0.3</v>
      </c>
      <c r="C121" s="0" t="n">
        <v>0.1</v>
      </c>
      <c r="D121" s="0" t="n">
        <v>0.25</v>
      </c>
      <c r="E121" s="0" t="n">
        <v>0.15</v>
      </c>
      <c r="F121" s="0" t="n">
        <v>0.3</v>
      </c>
      <c r="G121" s="0" t="n">
        <v>0.9</v>
      </c>
      <c r="H121" s="0" t="n">
        <v>10</v>
      </c>
      <c r="I121" s="5" t="n">
        <f aca="false">(A121*B121*C121*D121*E121/(1+D121*E121)+C121*(C121-F121*G121))*H121</f>
        <v>-0.160240963855422</v>
      </c>
      <c r="J121" s="0" t="n">
        <f aca="false">EXP(I121)</f>
        <v>0.851938477850721</v>
      </c>
      <c r="K121" s="5" t="n">
        <f aca="false">IF(OR(J121&gt;1.05,J121&lt;0.95),1,0)</f>
        <v>1</v>
      </c>
    </row>
    <row r="122" customFormat="false" ht="13.8" hidden="false" customHeight="false" outlineLevel="0" collapsed="false">
      <c r="A122" s="0" t="n">
        <v>0.9</v>
      </c>
      <c r="B122" s="0" t="n">
        <v>0.3</v>
      </c>
      <c r="C122" s="0" t="n">
        <v>0.3</v>
      </c>
      <c r="D122" s="0" t="n">
        <v>0.25</v>
      </c>
      <c r="E122" s="0" t="n">
        <v>0.03</v>
      </c>
      <c r="F122" s="0" t="n">
        <v>0.1</v>
      </c>
      <c r="G122" s="0" t="n">
        <v>0.5</v>
      </c>
      <c r="H122" s="0" t="n">
        <v>1</v>
      </c>
      <c r="I122" s="5" t="n">
        <f aca="false">(A122*B122*C122*D122*E122/(1+D122*E122)+C122*(C122-F122*G122))*H122</f>
        <v>0.0756029776674938</v>
      </c>
      <c r="J122" s="0" t="n">
        <f aca="false">EXP(I122)</f>
        <v>1.07853428694483</v>
      </c>
      <c r="K122" s="5" t="n">
        <f aca="false">IF(OR(J122&gt;1.05,J122&lt;0.95),1,0)</f>
        <v>1</v>
      </c>
    </row>
    <row r="123" customFormat="false" ht="13.8" hidden="false" customHeight="false" outlineLevel="0" collapsed="false">
      <c r="A123" s="0" t="n">
        <v>0.9</v>
      </c>
      <c r="B123" s="0" t="n">
        <v>0.3</v>
      </c>
      <c r="C123" s="0" t="n">
        <v>0.3</v>
      </c>
      <c r="D123" s="0" t="n">
        <v>0.25</v>
      </c>
      <c r="E123" s="0" t="n">
        <v>0.03</v>
      </c>
      <c r="F123" s="0" t="n">
        <v>0.1</v>
      </c>
      <c r="G123" s="0" t="n">
        <v>0.5</v>
      </c>
      <c r="H123" s="0" t="n">
        <v>10</v>
      </c>
      <c r="I123" s="5" t="n">
        <f aca="false">(A123*B123*C123*D123*E123/(1+D123*E123)+C123*(C123-F123*G123))*H123</f>
        <v>0.756029776674938</v>
      </c>
      <c r="J123" s="0" t="n">
        <f aca="false">EXP(I123)</f>
        <v>2.12980361656489</v>
      </c>
      <c r="K123" s="5" t="n">
        <f aca="false">IF(OR(J123&gt;1.05,J123&lt;0.95),1,0)</f>
        <v>1</v>
      </c>
    </row>
    <row r="124" customFormat="false" ht="13.8" hidden="false" customHeight="false" outlineLevel="0" collapsed="false">
      <c r="A124" s="0" t="n">
        <v>0.9</v>
      </c>
      <c r="B124" s="0" t="n">
        <v>0.3</v>
      </c>
      <c r="C124" s="0" t="n">
        <v>0.3</v>
      </c>
      <c r="D124" s="0" t="n">
        <v>0.25</v>
      </c>
      <c r="E124" s="0" t="n">
        <v>0.03</v>
      </c>
      <c r="F124" s="0" t="n">
        <v>0.1</v>
      </c>
      <c r="G124" s="0" t="n">
        <v>0.9</v>
      </c>
      <c r="H124" s="0" t="n">
        <v>1</v>
      </c>
      <c r="I124" s="5" t="n">
        <f aca="false">(A124*B124*C124*D124*E124/(1+D124*E124)+C124*(C124-F124*G124))*H124</f>
        <v>0.0636029776674938</v>
      </c>
      <c r="J124" s="0" t="n">
        <f aca="false">EXP(I124)</f>
        <v>1.06566922028189</v>
      </c>
      <c r="K124" s="5" t="n">
        <f aca="false">IF(OR(J124&gt;1.05,J124&lt;0.95),1,0)</f>
        <v>1</v>
      </c>
    </row>
    <row r="125" customFormat="false" ht="13.8" hidden="false" customHeight="false" outlineLevel="0" collapsed="false">
      <c r="A125" s="0" t="n">
        <v>0.9</v>
      </c>
      <c r="B125" s="0" t="n">
        <v>0.3</v>
      </c>
      <c r="C125" s="0" t="n">
        <v>0.3</v>
      </c>
      <c r="D125" s="0" t="n">
        <v>0.25</v>
      </c>
      <c r="E125" s="0" t="n">
        <v>0.03</v>
      </c>
      <c r="F125" s="0" t="n">
        <v>0.1</v>
      </c>
      <c r="G125" s="0" t="n">
        <v>0.9</v>
      </c>
      <c r="H125" s="0" t="n">
        <v>10</v>
      </c>
      <c r="I125" s="5" t="n">
        <f aca="false">(A125*B125*C125*D125*E125/(1+D125*E125)+C125*(C125-F125*G125))*H125</f>
        <v>0.636029776674938</v>
      </c>
      <c r="J125" s="0" t="n">
        <f aca="false">EXP(I125)</f>
        <v>1.88896635372552</v>
      </c>
      <c r="K125" s="5" t="n">
        <f aca="false">IF(OR(J125&gt;1.05,J125&lt;0.95),1,0)</f>
        <v>1</v>
      </c>
    </row>
    <row r="126" customFormat="false" ht="13.8" hidden="false" customHeight="false" outlineLevel="0" collapsed="false">
      <c r="A126" s="0" t="n">
        <v>0.9</v>
      </c>
      <c r="B126" s="0" t="n">
        <v>0.3</v>
      </c>
      <c r="C126" s="0" t="n">
        <v>0.3</v>
      </c>
      <c r="D126" s="0" t="n">
        <v>0.25</v>
      </c>
      <c r="E126" s="0" t="n">
        <v>0.03</v>
      </c>
      <c r="F126" s="0" t="n">
        <v>0.3</v>
      </c>
      <c r="G126" s="0" t="n">
        <v>0.5</v>
      </c>
      <c r="H126" s="0" t="n">
        <v>1</v>
      </c>
      <c r="I126" s="5" t="n">
        <f aca="false">(A126*B126*C126*D126*E126/(1+D126*E126)+C126*(C126-F126*G126))*H126</f>
        <v>0.0456029776674938</v>
      </c>
      <c r="J126" s="0" t="n">
        <f aca="false">EXP(I126)</f>
        <v>1.04665878154453</v>
      </c>
      <c r="K126" s="5" t="n">
        <f aca="false">IF(OR(J126&gt;1.05,J126&lt;0.95),1,0)</f>
        <v>0</v>
      </c>
    </row>
    <row r="127" customFormat="false" ht="13.8" hidden="false" customHeight="false" outlineLevel="0" collapsed="false">
      <c r="A127" s="0" t="n">
        <v>0.9</v>
      </c>
      <c r="B127" s="0" t="n">
        <v>0.3</v>
      </c>
      <c r="C127" s="0" t="n">
        <v>0.3</v>
      </c>
      <c r="D127" s="0" t="n">
        <v>0.25</v>
      </c>
      <c r="E127" s="0" t="n">
        <v>0.03</v>
      </c>
      <c r="F127" s="0" t="n">
        <v>0.3</v>
      </c>
      <c r="G127" s="0" t="n">
        <v>0.5</v>
      </c>
      <c r="H127" s="0" t="n">
        <v>10</v>
      </c>
      <c r="I127" s="5" t="n">
        <f aca="false">(A127*B127*C127*D127*E127/(1+D127*E127)+C127*(C127-F127*G127))*H127</f>
        <v>0.456029776674938</v>
      </c>
      <c r="J127" s="0" t="n">
        <f aca="false">EXP(I127)</f>
        <v>1.57779732562509</v>
      </c>
      <c r="K127" s="5" t="n">
        <f aca="false">IF(OR(J127&gt;1.05,J127&lt;0.95),1,0)</f>
        <v>1</v>
      </c>
    </row>
    <row r="128" customFormat="false" ht="13.8" hidden="false" customHeight="false" outlineLevel="0" collapsed="false">
      <c r="A128" s="0" t="n">
        <v>0.9</v>
      </c>
      <c r="B128" s="0" t="n">
        <v>0.3</v>
      </c>
      <c r="C128" s="0" t="n">
        <v>0.3</v>
      </c>
      <c r="D128" s="0" t="n">
        <v>0.25</v>
      </c>
      <c r="E128" s="0" t="n">
        <v>0.03</v>
      </c>
      <c r="F128" s="0" t="n">
        <v>0.3</v>
      </c>
      <c r="G128" s="0" t="n">
        <v>0.9</v>
      </c>
      <c r="H128" s="0" t="n">
        <v>1</v>
      </c>
      <c r="I128" s="5" t="n">
        <f aca="false">(A128*B128*C128*D128*E128/(1+D128*E128)+C128*(C128-F128*G128))*H128</f>
        <v>0.00960297766749379</v>
      </c>
      <c r="J128" s="0" t="n">
        <f aca="false">EXP(I128)</f>
        <v>1.0096492342058</v>
      </c>
      <c r="K128" s="5" t="n">
        <f aca="false">IF(OR(J128&gt;1.05,J128&lt;0.95),1,0)</f>
        <v>0</v>
      </c>
    </row>
    <row r="129" customFormat="false" ht="13.8" hidden="false" customHeight="false" outlineLevel="0" collapsed="false">
      <c r="A129" s="0" t="n">
        <v>0.9</v>
      </c>
      <c r="B129" s="0" t="n">
        <v>0.3</v>
      </c>
      <c r="C129" s="0" t="n">
        <v>0.3</v>
      </c>
      <c r="D129" s="0" t="n">
        <v>0.25</v>
      </c>
      <c r="E129" s="0" t="n">
        <v>0.03</v>
      </c>
      <c r="F129" s="0" t="n">
        <v>0.3</v>
      </c>
      <c r="G129" s="0" t="n">
        <v>0.9</v>
      </c>
      <c r="H129" s="0" t="n">
        <v>10</v>
      </c>
      <c r="I129" s="5" t="n">
        <f aca="false">(A129*B129*C129*D129*E129/(1+D129*E129)+C129*(C129-F129*G129))*H129</f>
        <v>0.0960297766749379</v>
      </c>
      <c r="J129" s="0" t="n">
        <f aca="false">EXP(I129)</f>
        <v>1.10079184142681</v>
      </c>
      <c r="K129" s="5" t="n">
        <f aca="false">IF(OR(J129&gt;1.05,J129&lt;0.95),1,0)</f>
        <v>1</v>
      </c>
    </row>
    <row r="130" customFormat="false" ht="13.8" hidden="false" customHeight="false" outlineLevel="0" collapsed="false">
      <c r="A130" s="0" t="n">
        <v>0.9</v>
      </c>
      <c r="B130" s="0" t="n">
        <v>0.3</v>
      </c>
      <c r="C130" s="0" t="n">
        <v>0.3</v>
      </c>
      <c r="D130" s="0" t="n">
        <v>0.25</v>
      </c>
      <c r="E130" s="0" t="n">
        <v>0.15</v>
      </c>
      <c r="F130" s="0" t="n">
        <v>0.1</v>
      </c>
      <c r="G130" s="0" t="n">
        <v>0.5</v>
      </c>
      <c r="H130" s="0" t="n">
        <v>1</v>
      </c>
      <c r="I130" s="5" t="n">
        <f aca="false">(A130*B130*C130*D130*E130/(1+D130*E130)+C130*(C130-F130*G130))*H130</f>
        <v>0.0779277108433735</v>
      </c>
      <c r="J130" s="0" t="n">
        <f aca="false">EXP(I130)</f>
        <v>1.08104450804963</v>
      </c>
      <c r="K130" s="5" t="n">
        <f aca="false">IF(OR(J130&gt;1.05,J130&lt;0.95),1,0)</f>
        <v>1</v>
      </c>
    </row>
    <row r="131" customFormat="false" ht="13.8" hidden="false" customHeight="false" outlineLevel="0" collapsed="false">
      <c r="A131" s="0" t="n">
        <v>0.9</v>
      </c>
      <c r="B131" s="0" t="n">
        <v>0.3</v>
      </c>
      <c r="C131" s="0" t="n">
        <v>0.3</v>
      </c>
      <c r="D131" s="0" t="n">
        <v>0.25</v>
      </c>
      <c r="E131" s="0" t="n">
        <v>0.15</v>
      </c>
      <c r="F131" s="0" t="n">
        <v>0.1</v>
      </c>
      <c r="G131" s="0" t="n">
        <v>0.5</v>
      </c>
      <c r="H131" s="0" t="n">
        <v>10</v>
      </c>
      <c r="I131" s="5" t="n">
        <f aca="false">(A131*B131*C131*D131*E131/(1+D131*E131)+C131*(C131-F131*G131))*H131</f>
        <v>0.779277108433735</v>
      </c>
      <c r="J131" s="0" t="n">
        <f aca="false">EXP(I131)</f>
        <v>2.17989586744651</v>
      </c>
      <c r="K131" s="5" t="n">
        <f aca="false">IF(OR(J131&gt;1.05,J131&lt;0.95),1,0)</f>
        <v>1</v>
      </c>
    </row>
    <row r="132" customFormat="false" ht="13.8" hidden="false" customHeight="false" outlineLevel="0" collapsed="false">
      <c r="A132" s="0" t="n">
        <v>0.9</v>
      </c>
      <c r="B132" s="0" t="n">
        <v>0.3</v>
      </c>
      <c r="C132" s="0" t="n">
        <v>0.3</v>
      </c>
      <c r="D132" s="0" t="n">
        <v>0.25</v>
      </c>
      <c r="E132" s="0" t="n">
        <v>0.15</v>
      </c>
      <c r="F132" s="0" t="n">
        <v>0.1</v>
      </c>
      <c r="G132" s="0" t="n">
        <v>0.9</v>
      </c>
      <c r="H132" s="0" t="n">
        <v>1</v>
      </c>
      <c r="I132" s="5" t="n">
        <f aca="false">(A132*B132*C132*D132*E132/(1+D132*E132)+C132*(C132-F132*G132))*H132</f>
        <v>0.0659277108433735</v>
      </c>
      <c r="J132" s="0" t="n">
        <f aca="false">EXP(I132)</f>
        <v>1.06814949874858</v>
      </c>
      <c r="K132" s="5" t="n">
        <f aca="false">IF(OR(J132&gt;1.05,J132&lt;0.95),1,0)</f>
        <v>1</v>
      </c>
    </row>
    <row r="133" customFormat="false" ht="13.8" hidden="false" customHeight="false" outlineLevel="0" collapsed="false">
      <c r="A133" s="0" t="n">
        <v>0.9</v>
      </c>
      <c r="B133" s="0" t="n">
        <v>0.3</v>
      </c>
      <c r="C133" s="0" t="n">
        <v>0.3</v>
      </c>
      <c r="D133" s="0" t="n">
        <v>0.25</v>
      </c>
      <c r="E133" s="0" t="n">
        <v>0.15</v>
      </c>
      <c r="F133" s="0" t="n">
        <v>0.1</v>
      </c>
      <c r="G133" s="0" t="n">
        <v>0.9</v>
      </c>
      <c r="H133" s="0" t="n">
        <v>10</v>
      </c>
      <c r="I133" s="5" t="n">
        <f aca="false">(A133*B133*C133*D133*E133/(1+D133*E133)+C133*(C133-F133*G133))*H133</f>
        <v>0.659277108433735</v>
      </c>
      <c r="J133" s="0" t="n">
        <f aca="false">EXP(I133)</f>
        <v>1.93339419475358</v>
      </c>
      <c r="K133" s="5" t="n">
        <f aca="false">IF(OR(J133&gt;1.05,J133&lt;0.95),1,0)</f>
        <v>1</v>
      </c>
    </row>
    <row r="134" customFormat="false" ht="13.8" hidden="false" customHeight="false" outlineLevel="0" collapsed="false">
      <c r="A134" s="0" t="n">
        <v>0.9</v>
      </c>
      <c r="B134" s="0" t="n">
        <v>0.3</v>
      </c>
      <c r="C134" s="0" t="n">
        <v>0.3</v>
      </c>
      <c r="D134" s="0" t="n">
        <v>0.25</v>
      </c>
      <c r="E134" s="0" t="n">
        <v>0.15</v>
      </c>
      <c r="F134" s="0" t="n">
        <v>0.3</v>
      </c>
      <c r="G134" s="0" t="n">
        <v>0.5</v>
      </c>
      <c r="H134" s="0" t="n">
        <v>1</v>
      </c>
      <c r="I134" s="5" t="n">
        <f aca="false">(A134*B134*C134*D134*E134/(1+D134*E134)+C134*(C134-F134*G134))*H134</f>
        <v>0.0479277108433735</v>
      </c>
      <c r="J134" s="0" t="n">
        <f aca="false">EXP(I134)</f>
        <v>1.04909481440391</v>
      </c>
      <c r="K134" s="5" t="n">
        <f aca="false">IF(OR(J134&gt;1.05,J134&lt;0.95),1,0)</f>
        <v>0</v>
      </c>
    </row>
    <row r="135" customFormat="false" ht="13.8" hidden="false" customHeight="false" outlineLevel="0" collapsed="false">
      <c r="A135" s="0" t="n">
        <v>0.9</v>
      </c>
      <c r="B135" s="0" t="n">
        <v>0.3</v>
      </c>
      <c r="C135" s="0" t="n">
        <v>0.3</v>
      </c>
      <c r="D135" s="0" t="n">
        <v>0.25</v>
      </c>
      <c r="E135" s="0" t="n">
        <v>0.15</v>
      </c>
      <c r="F135" s="0" t="n">
        <v>0.3</v>
      </c>
      <c r="G135" s="0" t="n">
        <v>0.5</v>
      </c>
      <c r="H135" s="0" t="n">
        <v>10</v>
      </c>
      <c r="I135" s="5" t="n">
        <f aca="false">(A135*B135*C135*D135*E135/(1+D135*E135)+C135*(C135-F135*G135))*H135</f>
        <v>0.479277108433735</v>
      </c>
      <c r="J135" s="0" t="n">
        <f aca="false">EXP(I135)</f>
        <v>1.61490657779315</v>
      </c>
      <c r="K135" s="5" t="n">
        <f aca="false">IF(OR(J135&gt;1.05,J135&lt;0.95),1,0)</f>
        <v>1</v>
      </c>
    </row>
    <row r="136" customFormat="false" ht="13.8" hidden="false" customHeight="false" outlineLevel="0" collapsed="false">
      <c r="A136" s="0" t="n">
        <v>0.9</v>
      </c>
      <c r="B136" s="0" t="n">
        <v>0.3</v>
      </c>
      <c r="C136" s="0" t="n">
        <v>0.3</v>
      </c>
      <c r="D136" s="0" t="n">
        <v>0.25</v>
      </c>
      <c r="E136" s="0" t="n">
        <v>0.15</v>
      </c>
      <c r="F136" s="0" t="n">
        <v>0.3</v>
      </c>
      <c r="G136" s="0" t="n">
        <v>0.9</v>
      </c>
      <c r="H136" s="0" t="n">
        <v>1</v>
      </c>
      <c r="I136" s="5" t="n">
        <f aca="false">(A136*B136*C136*D136*E136/(1+D136*E136)+C136*(C136-F136*G136))*H136</f>
        <v>0.0119277108433735</v>
      </c>
      <c r="J136" s="0" t="n">
        <f aca="false">EXP(I136)</f>
        <v>1.01199912965821</v>
      </c>
      <c r="K136" s="5" t="n">
        <f aca="false">IF(OR(J136&gt;1.05,J136&lt;0.95),1,0)</f>
        <v>0</v>
      </c>
    </row>
    <row r="137" customFormat="false" ht="13.8" hidden="false" customHeight="false" outlineLevel="0" collapsed="false">
      <c r="A137" s="0" t="n">
        <v>0.9</v>
      </c>
      <c r="B137" s="0" t="n">
        <v>0.3</v>
      </c>
      <c r="C137" s="0" t="n">
        <v>0.3</v>
      </c>
      <c r="D137" s="0" t="n">
        <v>0.25</v>
      </c>
      <c r="E137" s="0" t="n">
        <v>0.15</v>
      </c>
      <c r="F137" s="0" t="n">
        <v>0.3</v>
      </c>
      <c r="G137" s="0" t="n">
        <v>0.9</v>
      </c>
      <c r="H137" s="0" t="n">
        <v>10</v>
      </c>
      <c r="I137" s="5" t="n">
        <f aca="false">(A137*B137*C137*D137*E137/(1+D137*E137)+C137*(C137-F137*G137))*H137</f>
        <v>0.119277108433735</v>
      </c>
      <c r="J137" s="0" t="n">
        <f aca="false">EXP(I137)</f>
        <v>1.12668208814267</v>
      </c>
      <c r="K137" s="5" t="n">
        <f aca="false">IF(OR(J137&gt;1.05,J137&lt;0.95),1,0)</f>
        <v>1</v>
      </c>
    </row>
  </sheetData>
  <mergeCells count="2">
    <mergeCell ref="E5:K8"/>
    <mergeCell ref="A9:G9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LibreOffice/5.1.6.2$Linux_X86_64 LibreOffice_project/10m0$Build-2</Application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2016-11-30T04:27:35Z</dcterms:created>
  <dc:creator>Yuan</dc:creator>
  <dc:description/>
  <dc:language>en-US</dc:language>
  <cp:lastModifiedBy/>
  <dcterms:modified xsi:type="dcterms:W3CDTF">2017-11-28T21:12:26Z</dcterms:modified>
  <cp:revision>16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Microsoft Corporation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