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hbae\Documents\BaruchMFE9814\"/>
    </mc:Choice>
  </mc:AlternateContent>
  <bookViews>
    <workbookView xWindow="0" yWindow="0" windowWidth="23040" windowHeight="8808" firstSheet="3" activeTab="5"/>
  </bookViews>
  <sheets>
    <sheet name="Application_Part(A)&amp;(B)" sheetId="1" r:id="rId1"/>
    <sheet name="Application_Part(C)" sheetId="2" r:id="rId2"/>
    <sheet name="Application_Part(D)" sheetId="3" r:id="rId3"/>
    <sheet name="Application_Part(E)&amp;(F)&amp;(G)" sheetId="4" r:id="rId4"/>
    <sheet name="Application_Part(H)" sheetId="5" r:id="rId5"/>
    <sheet name="Application_Part(I)" sheetId="6" r:id="rId6"/>
  </sheets>
  <functionGroups builtInGroupCount="18"/>
  <definedNames>
    <definedName name="zero_rates">'Application_Part(A)&amp;(B)'!$B$3:$C$13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5" i="6" l="1"/>
  <c r="C45" i="6" a="1"/>
  <c r="C45" i="6"/>
  <c r="D44" i="6"/>
  <c r="C44" i="6" a="1"/>
  <c r="C44" i="6"/>
  <c r="D43" i="6"/>
  <c r="C43" i="6" a="1"/>
  <c r="C43" i="6"/>
  <c r="D42" i="6"/>
  <c r="C42" i="6" a="1"/>
  <c r="C42" i="6"/>
  <c r="D41" i="6"/>
  <c r="C41" i="6" a="1"/>
  <c r="C41" i="6"/>
  <c r="D40" i="6"/>
  <c r="C40" i="6" a="1"/>
  <c r="C40" i="6"/>
  <c r="D39" i="6"/>
  <c r="C39" i="6" a="1"/>
  <c r="C39" i="6"/>
  <c r="D38" i="6"/>
  <c r="C38" i="6" a="1"/>
  <c r="C38" i="6"/>
  <c r="D37" i="6"/>
  <c r="C37" i="6" a="1"/>
  <c r="C37" i="6"/>
  <c r="D36" i="6"/>
  <c r="C36" i="6" a="1"/>
  <c r="C36" i="6"/>
  <c r="D35" i="6"/>
  <c r="C35" i="6" a="1"/>
  <c r="C35" i="6"/>
  <c r="D34" i="6"/>
  <c r="C34" i="6" a="1"/>
  <c r="C34" i="6"/>
  <c r="D33" i="6"/>
  <c r="C33" i="6" a="1"/>
  <c r="C33" i="6"/>
  <c r="D32" i="6"/>
  <c r="C32" i="6" a="1"/>
  <c r="C32" i="6"/>
  <c r="D31" i="6"/>
  <c r="C31" i="6" a="1"/>
  <c r="C31" i="6"/>
  <c r="D30" i="6"/>
  <c r="C30" i="6" a="1"/>
  <c r="C30" i="6"/>
  <c r="D29" i="6"/>
  <c r="C29" i="6" a="1"/>
  <c r="C29" i="6"/>
  <c r="D28" i="6"/>
  <c r="C28" i="6" a="1"/>
  <c r="C28" i="6"/>
  <c r="D27" i="6"/>
  <c r="C27" i="6" a="1"/>
  <c r="C27" i="6"/>
  <c r="D26" i="6"/>
  <c r="C26" i="6" a="1"/>
  <c r="C26" i="6"/>
  <c r="D25" i="6"/>
  <c r="C25" i="6" a="1"/>
  <c r="C25" i="6"/>
  <c r="D24" i="6"/>
  <c r="C24" i="6" a="1"/>
  <c r="C24" i="6"/>
  <c r="D23" i="6"/>
  <c r="C23" i="6" a="1"/>
  <c r="C23" i="6"/>
  <c r="D22" i="6"/>
  <c r="C22" i="6" a="1"/>
  <c r="C22" i="6"/>
  <c r="D21" i="6"/>
  <c r="C21" i="6" a="1"/>
  <c r="C21" i="6"/>
  <c r="D20" i="6"/>
  <c r="C20" i="6" a="1"/>
  <c r="C20" i="6"/>
  <c r="D19" i="6"/>
  <c r="C19" i="6" a="1"/>
  <c r="C19" i="6"/>
  <c r="D18" i="6"/>
  <c r="C18" i="6" a="1"/>
  <c r="C18" i="6"/>
  <c r="D17" i="6"/>
  <c r="C17" i="6" a="1"/>
  <c r="C17" i="6"/>
  <c r="D16" i="6"/>
  <c r="C16" i="6" a="1"/>
  <c r="C16" i="6"/>
  <c r="D15" i="6"/>
  <c r="C15" i="6" a="1"/>
  <c r="C15" i="6"/>
  <c r="D14" i="6"/>
  <c r="C14" i="6" a="1"/>
  <c r="C14" i="6"/>
  <c r="D13" i="6"/>
  <c r="C13" i="6" a="1"/>
  <c r="C13" i="6"/>
  <c r="D12" i="6"/>
  <c r="C12" i="6" a="1"/>
  <c r="C12" i="6"/>
  <c r="D11" i="6"/>
  <c r="C11" i="6" a="1"/>
  <c r="C11" i="6"/>
  <c r="D10" i="6"/>
  <c r="C10" i="6" a="1"/>
  <c r="C10" i="6"/>
  <c r="D9" i="6"/>
  <c r="C9" i="6" a="1"/>
  <c r="C9" i="6"/>
  <c r="D8" i="6"/>
  <c r="C8" i="6" a="1"/>
  <c r="C8" i="6"/>
  <c r="D7" i="6"/>
  <c r="C7" i="6" a="1"/>
  <c r="C7" i="6"/>
  <c r="D6" i="6"/>
  <c r="C6" i="6" a="1"/>
  <c r="C6" i="6"/>
  <c r="B5" i="6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8" i="5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7" i="5"/>
  <c r="B5" i="5"/>
  <c r="B6" i="5" s="1"/>
  <c r="B25" i="4"/>
  <c r="C5" i="6" a="1"/>
  <c r="C9" i="5" a="1"/>
  <c r="C13" i="5" a="1"/>
  <c r="C17" i="5" a="1"/>
  <c r="C8" i="5" a="1"/>
  <c r="C12" i="5" a="1"/>
  <c r="C16" i="5" a="1"/>
  <c r="C20" i="5" a="1"/>
  <c r="C24" i="5" a="1"/>
  <c r="C28" i="5" a="1"/>
  <c r="C32" i="5" a="1"/>
  <c r="C36" i="5" a="1"/>
  <c r="C40" i="5" a="1"/>
  <c r="C44" i="5" a="1"/>
  <c r="C7" i="5" a="1"/>
  <c r="C11" i="5" a="1"/>
  <c r="C15" i="5" a="1"/>
  <c r="C19" i="5" a="1"/>
  <c r="C23" i="5" a="1"/>
  <c r="C27" i="5" a="1"/>
  <c r="C31" i="5" a="1"/>
  <c r="C35" i="5" a="1"/>
  <c r="C39" i="5" a="1"/>
  <c r="C43" i="5" a="1"/>
  <c r="C6" i="5" a="1"/>
  <c r="C10" i="5" a="1"/>
  <c r="C14" i="5" a="1"/>
  <c r="C18" i="5" a="1"/>
  <c r="C25" i="5" a="1"/>
  <c r="C33" i="5" a="1"/>
  <c r="C41" i="5" a="1"/>
  <c r="C30" i="5" a="1"/>
  <c r="C26" i="5" a="1"/>
  <c r="C34" i="5" a="1"/>
  <c r="C42" i="5" a="1"/>
  <c r="C21" i="5" a="1"/>
  <c r="C29" i="5" a="1"/>
  <c r="C37" i="5" a="1"/>
  <c r="C45" i="5" a="1"/>
  <c r="C22" i="5" a="1"/>
  <c r="C38" i="5" a="1"/>
  <c r="C5" i="5" a="1"/>
  <c r="C5" i="6" l="1"/>
  <c r="D5" i="6"/>
  <c r="D5" i="5"/>
  <c r="C5" i="5"/>
  <c r="D38" i="5"/>
  <c r="C38" i="5"/>
  <c r="D22" i="5"/>
  <c r="C22" i="5"/>
  <c r="C45" i="5"/>
  <c r="D45" i="5"/>
  <c r="C37" i="5"/>
  <c r="D37" i="5"/>
  <c r="C29" i="5"/>
  <c r="D29" i="5"/>
  <c r="C21" i="5"/>
  <c r="D21" i="5"/>
  <c r="D42" i="5"/>
  <c r="C42" i="5"/>
  <c r="D34" i="5"/>
  <c r="C34" i="5"/>
  <c r="D26" i="5"/>
  <c r="C26" i="5"/>
  <c r="D30" i="5"/>
  <c r="C30" i="5"/>
  <c r="C41" i="5"/>
  <c r="D41" i="5"/>
  <c r="C33" i="5"/>
  <c r="D33" i="5"/>
  <c r="C25" i="5"/>
  <c r="D25" i="5"/>
  <c r="D18" i="5"/>
  <c r="C18" i="5"/>
  <c r="C14" i="5"/>
  <c r="D14" i="5"/>
  <c r="C10" i="5"/>
  <c r="D10" i="5"/>
  <c r="C6" i="5"/>
  <c r="D6" i="5"/>
  <c r="D43" i="5"/>
  <c r="C43" i="5"/>
  <c r="C39" i="5"/>
  <c r="D39" i="5"/>
  <c r="D35" i="5"/>
  <c r="C35" i="5"/>
  <c r="C31" i="5"/>
  <c r="D31" i="5"/>
  <c r="D27" i="5"/>
  <c r="C27" i="5"/>
  <c r="C23" i="5"/>
  <c r="D23" i="5"/>
  <c r="C19" i="5"/>
  <c r="D19" i="5"/>
  <c r="D15" i="5"/>
  <c r="C15" i="5"/>
  <c r="D11" i="5"/>
  <c r="C11" i="5"/>
  <c r="D7" i="5"/>
  <c r="C7" i="5"/>
  <c r="C44" i="5"/>
  <c r="D44" i="5"/>
  <c r="C40" i="5"/>
  <c r="D40" i="5"/>
  <c r="C36" i="5"/>
  <c r="D36" i="5"/>
  <c r="C32" i="5"/>
  <c r="D32" i="5"/>
  <c r="C28" i="5"/>
  <c r="D28" i="5"/>
  <c r="C24" i="5"/>
  <c r="D24" i="5"/>
  <c r="C20" i="5"/>
  <c r="D20" i="5"/>
  <c r="C16" i="5"/>
  <c r="D16" i="5"/>
  <c r="C12" i="5"/>
  <c r="D12" i="5"/>
  <c r="C8" i="5"/>
  <c r="D8" i="5"/>
  <c r="C17" i="5"/>
  <c r="D17" i="5"/>
  <c r="C13" i="5"/>
  <c r="D13" i="5"/>
  <c r="C9" i="5"/>
  <c r="D9" i="5"/>
  <c r="B15" i="4" l="1"/>
  <c r="B5" i="3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C27" i="1"/>
  <c r="A19" i="4" a="1"/>
  <c r="C6" i="3" a="1"/>
  <c r="C10" i="3" a="1"/>
  <c r="C14" i="3" a="1"/>
  <c r="C18" i="3" a="1"/>
  <c r="C22" i="3" a="1"/>
  <c r="C26" i="3" a="1"/>
  <c r="C30" i="3" a="1"/>
  <c r="C34" i="3" a="1"/>
  <c r="C38" i="3" a="1"/>
  <c r="C42" i="3" a="1"/>
  <c r="C36" i="3" a="1"/>
  <c r="C44" i="3" a="1"/>
  <c r="C11" i="3" a="1"/>
  <c r="C19" i="3" a="1"/>
  <c r="C27" i="3" a="1"/>
  <c r="C35" i="3" a="1"/>
  <c r="C43" i="3" a="1"/>
  <c r="C9" i="3" a="1"/>
  <c r="C13" i="3" a="1"/>
  <c r="C17" i="3" a="1"/>
  <c r="C21" i="3" a="1"/>
  <c r="C25" i="3" a="1"/>
  <c r="C29" i="3" a="1"/>
  <c r="C33" i="3" a="1"/>
  <c r="C37" i="3" a="1"/>
  <c r="C41" i="3" a="1"/>
  <c r="C45" i="3" a="1"/>
  <c r="C8" i="3" a="1"/>
  <c r="C12" i="3" a="1"/>
  <c r="C16" i="3" a="1"/>
  <c r="C20" i="3" a="1"/>
  <c r="C24" i="3" a="1"/>
  <c r="C28" i="3" a="1"/>
  <c r="C32" i="3" a="1"/>
  <c r="C40" i="3" a="1"/>
  <c r="C7" i="3" a="1"/>
  <c r="C15" i="3" a="1"/>
  <c r="C23" i="3" a="1"/>
  <c r="C31" i="3" a="1"/>
  <c r="C39" i="3" a="1"/>
  <c r="C5" i="3" a="1"/>
  <c r="C6" i="2" a="1"/>
  <c r="C10" i="2" a="1"/>
  <c r="C14" i="2" a="1"/>
  <c r="C18" i="2" a="1"/>
  <c r="C22" i="2" a="1"/>
  <c r="C26" i="2" a="1"/>
  <c r="C30" i="2" a="1"/>
  <c r="C34" i="2" a="1"/>
  <c r="C38" i="2" a="1"/>
  <c r="C42" i="2" a="1"/>
  <c r="C5" i="2" a="1"/>
  <c r="C11" i="2" a="1"/>
  <c r="C23" i="2" a="1"/>
  <c r="C35" i="2" a="1"/>
  <c r="C9" i="2" a="1"/>
  <c r="C13" i="2" a="1"/>
  <c r="C17" i="2" a="1"/>
  <c r="C21" i="2" a="1"/>
  <c r="C25" i="2" a="1"/>
  <c r="C29" i="2" a="1"/>
  <c r="C33" i="2" a="1"/>
  <c r="C37" i="2" a="1"/>
  <c r="C41" i="2" a="1"/>
  <c r="C45" i="2" a="1"/>
  <c r="C19" i="2" a="1"/>
  <c r="C31" i="2" a="1"/>
  <c r="C43" i="2" a="1"/>
  <c r="C8" i="2" a="1"/>
  <c r="C12" i="2" a="1"/>
  <c r="C16" i="2" a="1"/>
  <c r="C20" i="2" a="1"/>
  <c r="C24" i="2" a="1"/>
  <c r="C28" i="2" a="1"/>
  <c r="C32" i="2" a="1"/>
  <c r="C36" i="2" a="1"/>
  <c r="C40" i="2" a="1"/>
  <c r="C44" i="2" a="1"/>
  <c r="C7" i="2" a="1"/>
  <c r="C15" i="2" a="1"/>
  <c r="C27" i="2" a="1"/>
  <c r="C39" i="2" a="1"/>
  <c r="C19" i="4" l="1"/>
  <c r="A19" i="4"/>
  <c r="B19" i="4"/>
  <c r="C39" i="3"/>
  <c r="D39" i="3"/>
  <c r="C31" i="3"/>
  <c r="D31" i="3"/>
  <c r="C23" i="3"/>
  <c r="D23" i="3"/>
  <c r="C15" i="3"/>
  <c r="D15" i="3"/>
  <c r="C7" i="3"/>
  <c r="D7" i="3"/>
  <c r="D40" i="3"/>
  <c r="C40" i="3"/>
  <c r="D32" i="3"/>
  <c r="C32" i="3"/>
  <c r="D28" i="3"/>
  <c r="C28" i="3"/>
  <c r="D24" i="3"/>
  <c r="C24" i="3"/>
  <c r="D20" i="3"/>
  <c r="C20" i="3"/>
  <c r="D16" i="3"/>
  <c r="C16" i="3"/>
  <c r="D12" i="3"/>
  <c r="C12" i="3"/>
  <c r="D8" i="3"/>
  <c r="C8" i="3"/>
  <c r="C45" i="3"/>
  <c r="D45" i="3"/>
  <c r="C41" i="3"/>
  <c r="D41" i="3"/>
  <c r="C37" i="3"/>
  <c r="D37" i="3"/>
  <c r="C33" i="3"/>
  <c r="D33" i="3"/>
  <c r="C29" i="3"/>
  <c r="D29" i="3"/>
  <c r="D25" i="3"/>
  <c r="C25" i="3"/>
  <c r="C21" i="3"/>
  <c r="D21" i="3"/>
  <c r="D17" i="3"/>
  <c r="C17" i="3"/>
  <c r="C13" i="3"/>
  <c r="D13" i="3"/>
  <c r="D9" i="3"/>
  <c r="C9" i="3"/>
  <c r="C43" i="3"/>
  <c r="D43" i="3"/>
  <c r="C35" i="3"/>
  <c r="D35" i="3"/>
  <c r="C27" i="3"/>
  <c r="D27" i="3"/>
  <c r="C19" i="3"/>
  <c r="D19" i="3"/>
  <c r="C11" i="3"/>
  <c r="D11" i="3"/>
  <c r="D44" i="3"/>
  <c r="C44" i="3"/>
  <c r="D36" i="3"/>
  <c r="C36" i="3"/>
  <c r="D42" i="3"/>
  <c r="C42" i="3"/>
  <c r="C38" i="3"/>
  <c r="D38" i="3"/>
  <c r="D34" i="3"/>
  <c r="C34" i="3"/>
  <c r="C30" i="3"/>
  <c r="D30" i="3"/>
  <c r="C26" i="3"/>
  <c r="D26" i="3"/>
  <c r="C22" i="3"/>
  <c r="D22" i="3"/>
  <c r="C18" i="3"/>
  <c r="D18" i="3"/>
  <c r="C14" i="3"/>
  <c r="D14" i="3"/>
  <c r="C10" i="3"/>
  <c r="D10" i="3"/>
  <c r="C6" i="3"/>
  <c r="D6" i="3"/>
  <c r="D5" i="3"/>
  <c r="C5" i="3"/>
  <c r="C39" i="2"/>
  <c r="D39" i="2"/>
  <c r="C27" i="2"/>
  <c r="D27" i="2"/>
  <c r="C15" i="2"/>
  <c r="D15" i="2"/>
  <c r="C7" i="2"/>
  <c r="D7" i="2"/>
  <c r="D44" i="2"/>
  <c r="C44" i="2"/>
  <c r="D40" i="2"/>
  <c r="C40" i="2"/>
  <c r="D36" i="2"/>
  <c r="C36" i="2"/>
  <c r="D32" i="2"/>
  <c r="C32" i="2"/>
  <c r="D28" i="2"/>
  <c r="C28" i="2"/>
  <c r="D24" i="2"/>
  <c r="C24" i="2"/>
  <c r="D20" i="2"/>
  <c r="C20" i="2"/>
  <c r="D16" i="2"/>
  <c r="C16" i="2"/>
  <c r="D12" i="2"/>
  <c r="C12" i="2"/>
  <c r="D8" i="2"/>
  <c r="C8" i="2"/>
  <c r="C43" i="2"/>
  <c r="D43" i="2"/>
  <c r="C31" i="2"/>
  <c r="D31" i="2"/>
  <c r="C19" i="2"/>
  <c r="D19" i="2"/>
  <c r="D45" i="2"/>
  <c r="C45" i="2"/>
  <c r="D41" i="2"/>
  <c r="C41" i="2"/>
  <c r="C37" i="2"/>
  <c r="D37" i="2"/>
  <c r="D33" i="2"/>
  <c r="C33" i="2"/>
  <c r="D29" i="2"/>
  <c r="C29" i="2"/>
  <c r="C25" i="2"/>
  <c r="D25" i="2"/>
  <c r="D21" i="2"/>
  <c r="C21" i="2"/>
  <c r="D17" i="2"/>
  <c r="C17" i="2"/>
  <c r="D13" i="2"/>
  <c r="C13" i="2"/>
  <c r="D9" i="2"/>
  <c r="C9" i="2"/>
  <c r="C35" i="2"/>
  <c r="D35" i="2"/>
  <c r="C23" i="2"/>
  <c r="D23" i="2"/>
  <c r="C11" i="2"/>
  <c r="D11" i="2"/>
  <c r="C5" i="2"/>
  <c r="D5" i="2"/>
  <c r="C42" i="2"/>
  <c r="D42" i="2"/>
  <c r="C38" i="2"/>
  <c r="D38" i="2"/>
  <c r="C34" i="2"/>
  <c r="D34" i="2"/>
  <c r="C30" i="2"/>
  <c r="D30" i="2"/>
  <c r="C26" i="2"/>
  <c r="D26" i="2"/>
  <c r="C22" i="2"/>
  <c r="D22" i="2"/>
  <c r="C18" i="2"/>
  <c r="D18" i="2"/>
  <c r="C14" i="2"/>
  <c r="D14" i="2"/>
  <c r="C10" i="2"/>
  <c r="D10" i="2"/>
  <c r="C6" i="2"/>
  <c r="D6" i="2"/>
  <c r="B22" i="1" a="1"/>
  <c r="C22" i="1" l="1"/>
  <c r="D22" i="1"/>
  <c r="B22" i="1"/>
</calcChain>
</file>

<file path=xl/sharedStrings.xml><?xml version="1.0" encoding="utf-8"?>
<sst xmlns="http://schemas.openxmlformats.org/spreadsheetml/2006/main" count="41" uniqueCount="27">
  <si>
    <t>T</t>
  </si>
  <si>
    <t>Zero Rate (Continuous)</t>
  </si>
  <si>
    <t>Part A</t>
  </si>
  <si>
    <t>Coupon</t>
  </si>
  <si>
    <t>Frequency</t>
  </si>
  <si>
    <t>Face</t>
  </si>
  <si>
    <t xml:space="preserve">Maturity </t>
  </si>
  <si>
    <t>Value</t>
  </si>
  <si>
    <t>Duration</t>
  </si>
  <si>
    <t>Convexity</t>
  </si>
  <si>
    <t>Part B</t>
  </si>
  <si>
    <t>Constant Z-Spread</t>
  </si>
  <si>
    <t>MarketPrice</t>
  </si>
  <si>
    <t>ZeroRateShock</t>
  </si>
  <si>
    <t>Value (LHS)</t>
  </si>
  <si>
    <t>Duration (RHS)</t>
  </si>
  <si>
    <t>ConstantZSpreadShock</t>
  </si>
  <si>
    <t>Part E</t>
  </si>
  <si>
    <t>If the credit spreads widen, then the interest rates would decrease.</t>
  </si>
  <si>
    <t>That is, under the new market condition, the portfolio would become more sensitive to interest rate movements.</t>
  </si>
  <si>
    <t>Thus, it would be underhedged with respect to interest rate movements.</t>
  </si>
  <si>
    <t>From Part C, we know that negative interest rate shock results in higher duration for the bond.</t>
  </si>
  <si>
    <t>Part F</t>
  </si>
  <si>
    <t>Maturity</t>
  </si>
  <si>
    <t>Margin</t>
  </si>
  <si>
    <t>Part G</t>
  </si>
  <si>
    <t>Constant Z Spread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</si>
</sst>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1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</a:t>
            </a:r>
            <a:r>
              <a:rPr lang="en-US" baseline="0"/>
              <a:t> and Duration against Zero Rate Shock</a:t>
            </a:r>
            <a:endParaRPr lang="en-US"/>
          </a:p>
        </c:rich>
      </c:tx>
      <c:layout>
        <c:manualLayout>
          <c:xMode val="edge"/>
          <c:yMode val="edge"/>
          <c:x val="0.20537527506031444"/>
          <c:y val="2.3923444976076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'Application_Part(C)'!$C$4</c:f>
              <c:strCache>
                <c:ptCount val="1"/>
                <c:pt idx="0">
                  <c:v>Value (LHS)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'Application_Part(C)'!$B$5:$B$45</c:f>
              <c:numCache>
                <c:formatCode>0.0000</c:formatCode>
                <c:ptCount val="41"/>
                <c:pt idx="0">
                  <c:v>-0.02</c:v>
                </c:pt>
                <c:pt idx="1">
                  <c:v>-1.7500000000000002E-2</c:v>
                </c:pt>
                <c:pt idx="2">
                  <c:v>-1.5000000000000001E-2</c:v>
                </c:pt>
                <c:pt idx="3">
                  <c:v>-1.2500000000000001E-2</c:v>
                </c:pt>
                <c:pt idx="4">
                  <c:v>-0.01</c:v>
                </c:pt>
                <c:pt idx="5">
                  <c:v>-7.4999999999999997E-3</c:v>
                </c:pt>
                <c:pt idx="6">
                  <c:v>-4.9999999999999992E-3</c:v>
                </c:pt>
                <c:pt idx="7">
                  <c:v>-2.4999999999999992E-3</c:v>
                </c:pt>
                <c:pt idx="8">
                  <c:v>0</c:v>
                </c:pt>
                <c:pt idx="9">
                  <c:v>2.5000000000000001E-3</c:v>
                </c:pt>
                <c:pt idx="10">
                  <c:v>5.0000000000000001E-3</c:v>
                </c:pt>
                <c:pt idx="11">
                  <c:v>7.4999999999999997E-3</c:v>
                </c:pt>
                <c:pt idx="12">
                  <c:v>0.01</c:v>
                </c:pt>
                <c:pt idx="13">
                  <c:v>1.2500000000000001E-2</c:v>
                </c:pt>
                <c:pt idx="14">
                  <c:v>1.5000000000000001E-2</c:v>
                </c:pt>
                <c:pt idx="15">
                  <c:v>1.7500000000000002E-2</c:v>
                </c:pt>
                <c:pt idx="16">
                  <c:v>0.02</c:v>
                </c:pt>
                <c:pt idx="17">
                  <c:v>2.2499999999999999E-2</c:v>
                </c:pt>
                <c:pt idx="18">
                  <c:v>2.4999999999999998E-2</c:v>
                </c:pt>
                <c:pt idx="19">
                  <c:v>2.7499999999999997E-2</c:v>
                </c:pt>
                <c:pt idx="20">
                  <c:v>2.9999999999999995E-2</c:v>
                </c:pt>
                <c:pt idx="21">
                  <c:v>3.2499999999999994E-2</c:v>
                </c:pt>
                <c:pt idx="22">
                  <c:v>3.4999999999999996E-2</c:v>
                </c:pt>
                <c:pt idx="23">
                  <c:v>3.7499999999999999E-2</c:v>
                </c:pt>
                <c:pt idx="24">
                  <c:v>0.04</c:v>
                </c:pt>
                <c:pt idx="25">
                  <c:v>4.2500000000000003E-2</c:v>
                </c:pt>
                <c:pt idx="26">
                  <c:v>4.5000000000000005E-2</c:v>
                </c:pt>
                <c:pt idx="27">
                  <c:v>4.7500000000000007E-2</c:v>
                </c:pt>
                <c:pt idx="28">
                  <c:v>5.000000000000001E-2</c:v>
                </c:pt>
                <c:pt idx="29">
                  <c:v>5.2500000000000012E-2</c:v>
                </c:pt>
                <c:pt idx="30">
                  <c:v>5.5000000000000014E-2</c:v>
                </c:pt>
                <c:pt idx="31">
                  <c:v>5.7500000000000016E-2</c:v>
                </c:pt>
                <c:pt idx="32">
                  <c:v>6.0000000000000019E-2</c:v>
                </c:pt>
                <c:pt idx="33">
                  <c:v>6.2500000000000014E-2</c:v>
                </c:pt>
                <c:pt idx="34">
                  <c:v>6.5000000000000016E-2</c:v>
                </c:pt>
                <c:pt idx="35">
                  <c:v>6.7500000000000018E-2</c:v>
                </c:pt>
                <c:pt idx="36">
                  <c:v>7.0000000000000021E-2</c:v>
                </c:pt>
                <c:pt idx="37">
                  <c:v>7.2500000000000023E-2</c:v>
                </c:pt>
                <c:pt idx="38">
                  <c:v>7.5000000000000025E-2</c:v>
                </c:pt>
                <c:pt idx="39">
                  <c:v>7.7500000000000027E-2</c:v>
                </c:pt>
                <c:pt idx="40">
                  <c:v>8.0000000000000029E-2</c:v>
                </c:pt>
              </c:numCache>
            </c:numRef>
          </c:xVal>
          <c:yVal>
            <c:numRef>
              <c:f>'Application_Part(C)'!$C$5:$C$45</c:f>
              <c:numCache>
                <c:formatCode>General</c:formatCode>
                <c:ptCount val="41"/>
                <c:pt idx="0">
                  <c:v>121.29238525974135</c:v>
                </c:pt>
                <c:pt idx="1">
                  <c:v>118.74624994290045</c:v>
                </c:pt>
                <c:pt idx="2">
                  <c:v>116.25916429069805</c:v>
                </c:pt>
                <c:pt idx="3">
                  <c:v>113.82971689452651</c:v>
                </c:pt>
                <c:pt idx="4">
                  <c:v>111.45653051144959</c:v>
                </c:pt>
                <c:pt idx="5">
                  <c:v>109.1382612317756</c:v>
                </c:pt>
                <c:pt idx="6">
                  <c:v>106.87359766698843</c:v>
                </c:pt>
                <c:pt idx="7">
                  <c:v>104.6612601575375</c:v>
                </c:pt>
                <c:pt idx="8">
                  <c:v>102.50000000000003</c:v>
                </c:pt>
                <c:pt idx="9">
                  <c:v>100.38859869314085</c:v>
                </c:pt>
                <c:pt idx="10">
                  <c:v>98.325867202406073</c:v>
                </c:pt>
                <c:pt idx="11">
                  <c:v>96.310645242399133</c:v>
                </c:pt>
                <c:pt idx="12">
                  <c:v>94.341800576898649</c:v>
                </c:pt>
                <c:pt idx="13">
                  <c:v>92.418228335987592</c:v>
                </c:pt>
                <c:pt idx="14">
                  <c:v>90.538850349875105</c:v>
                </c:pt>
                <c:pt idx="15">
                  <c:v>88.702614499001257</c:v>
                </c:pt>
                <c:pt idx="16">
                  <c:v>86.908494080026273</c:v>
                </c:pt>
                <c:pt idx="17">
                  <c:v>85.155487187314492</c:v>
                </c:pt>
                <c:pt idx="18">
                  <c:v>83.442616109533844</c:v>
                </c:pt>
                <c:pt idx="19">
                  <c:v>81.768926741000101</c:v>
                </c:pt>
                <c:pt idx="20">
                  <c:v>80.133488007404935</c:v>
                </c:pt>
                <c:pt idx="21">
                  <c:v>78.535391305575104</c:v>
                </c:pt>
                <c:pt idx="22">
                  <c:v>76.973749956919292</c:v>
                </c:pt>
                <c:pt idx="23">
                  <c:v>75.447698674227112</c:v>
                </c:pt>
                <c:pt idx="24">
                  <c:v>73.956393041493214</c:v>
                </c:pt>
                <c:pt idx="25">
                  <c:v>72.49900900644748</c:v>
                </c:pt>
                <c:pt idx="26">
                  <c:v>71.074742385479993</c:v>
                </c:pt>
                <c:pt idx="27">
                  <c:v>69.682808380657377</c:v>
                </c:pt>
                <c:pt idx="28">
                  <c:v>68.322441108534122</c:v>
                </c:pt>
                <c:pt idx="29">
                  <c:v>66.992893140470144</c:v>
                </c:pt>
                <c:pt idx="30">
                  <c:v>65.693435054172937</c:v>
                </c:pt>
                <c:pt idx="31">
                  <c:v>64.423354996188976</c:v>
                </c:pt>
                <c:pt idx="32">
                  <c:v>63.181958255077014</c:v>
                </c:pt>
                <c:pt idx="33">
                  <c:v>61.968566845000794</c:v>
                </c:pt>
                <c:pt idx="34">
                  <c:v>60.782519099486869</c:v>
                </c:pt>
                <c:pt idx="35">
                  <c:v>59.623169275098121</c:v>
                </c:pt>
                <c:pt idx="36">
                  <c:v>58.48988716478047</c:v>
                </c:pt>
                <c:pt idx="37">
                  <c:v>57.382057720645889</c:v>
                </c:pt>
                <c:pt idx="38">
                  <c:v>56.299080685960632</c:v>
                </c:pt>
                <c:pt idx="39">
                  <c:v>55.240370236113549</c:v>
                </c:pt>
                <c:pt idx="40">
                  <c:v>54.205354628344423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030112"/>
        <c:axId val="406031680"/>
      </c:scatterChart>
      <c:scatterChart>
        <c:scatterStyle val="smoothMarker"/>
        <c:varyColors val="0"/>
        <c:ser>
          <c:idx val="1"/>
          <c:order val="1"/>
          <c:tx>
            <c:strRef>
              <c:f>'Application_Part(C)'!$D$4</c:f>
              <c:strCache>
                <c:ptCount val="1"/>
                <c:pt idx="0">
                  <c:v>Duration (RHS)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'Application_Part(C)'!$B$5:$B$45</c:f>
              <c:numCache>
                <c:formatCode>0.0000</c:formatCode>
                <c:ptCount val="41"/>
                <c:pt idx="0">
                  <c:v>-0.02</c:v>
                </c:pt>
                <c:pt idx="1">
                  <c:v>-1.7500000000000002E-2</c:v>
                </c:pt>
                <c:pt idx="2">
                  <c:v>-1.5000000000000001E-2</c:v>
                </c:pt>
                <c:pt idx="3">
                  <c:v>-1.2500000000000001E-2</c:v>
                </c:pt>
                <c:pt idx="4">
                  <c:v>-0.01</c:v>
                </c:pt>
                <c:pt idx="5">
                  <c:v>-7.4999999999999997E-3</c:v>
                </c:pt>
                <c:pt idx="6">
                  <c:v>-4.9999999999999992E-3</c:v>
                </c:pt>
                <c:pt idx="7">
                  <c:v>-2.4999999999999992E-3</c:v>
                </c:pt>
                <c:pt idx="8">
                  <c:v>0</c:v>
                </c:pt>
                <c:pt idx="9">
                  <c:v>2.5000000000000001E-3</c:v>
                </c:pt>
                <c:pt idx="10">
                  <c:v>5.0000000000000001E-3</c:v>
                </c:pt>
                <c:pt idx="11">
                  <c:v>7.4999999999999997E-3</c:v>
                </c:pt>
                <c:pt idx="12">
                  <c:v>0.01</c:v>
                </c:pt>
                <c:pt idx="13">
                  <c:v>1.2500000000000001E-2</c:v>
                </c:pt>
                <c:pt idx="14">
                  <c:v>1.5000000000000001E-2</c:v>
                </c:pt>
                <c:pt idx="15">
                  <c:v>1.7500000000000002E-2</c:v>
                </c:pt>
                <c:pt idx="16">
                  <c:v>0.02</c:v>
                </c:pt>
                <c:pt idx="17">
                  <c:v>2.2499999999999999E-2</c:v>
                </c:pt>
                <c:pt idx="18">
                  <c:v>2.4999999999999998E-2</c:v>
                </c:pt>
                <c:pt idx="19">
                  <c:v>2.7499999999999997E-2</c:v>
                </c:pt>
                <c:pt idx="20">
                  <c:v>2.9999999999999995E-2</c:v>
                </c:pt>
                <c:pt idx="21">
                  <c:v>3.2499999999999994E-2</c:v>
                </c:pt>
                <c:pt idx="22">
                  <c:v>3.4999999999999996E-2</c:v>
                </c:pt>
                <c:pt idx="23">
                  <c:v>3.7499999999999999E-2</c:v>
                </c:pt>
                <c:pt idx="24">
                  <c:v>0.04</c:v>
                </c:pt>
                <c:pt idx="25">
                  <c:v>4.2500000000000003E-2</c:v>
                </c:pt>
                <c:pt idx="26">
                  <c:v>4.5000000000000005E-2</c:v>
                </c:pt>
                <c:pt idx="27">
                  <c:v>4.7500000000000007E-2</c:v>
                </c:pt>
                <c:pt idx="28">
                  <c:v>5.000000000000001E-2</c:v>
                </c:pt>
                <c:pt idx="29">
                  <c:v>5.2500000000000012E-2</c:v>
                </c:pt>
                <c:pt idx="30">
                  <c:v>5.5000000000000014E-2</c:v>
                </c:pt>
                <c:pt idx="31">
                  <c:v>5.7500000000000016E-2</c:v>
                </c:pt>
                <c:pt idx="32">
                  <c:v>6.0000000000000019E-2</c:v>
                </c:pt>
                <c:pt idx="33">
                  <c:v>6.2500000000000014E-2</c:v>
                </c:pt>
                <c:pt idx="34">
                  <c:v>6.5000000000000016E-2</c:v>
                </c:pt>
                <c:pt idx="35">
                  <c:v>6.7500000000000018E-2</c:v>
                </c:pt>
                <c:pt idx="36">
                  <c:v>7.0000000000000021E-2</c:v>
                </c:pt>
                <c:pt idx="37">
                  <c:v>7.2500000000000023E-2</c:v>
                </c:pt>
                <c:pt idx="38">
                  <c:v>7.5000000000000025E-2</c:v>
                </c:pt>
                <c:pt idx="39">
                  <c:v>7.7500000000000027E-2</c:v>
                </c:pt>
                <c:pt idx="40">
                  <c:v>8.0000000000000029E-2</c:v>
                </c:pt>
              </c:numCache>
            </c:numRef>
          </c:xVal>
          <c:yVal>
            <c:numRef>
              <c:f>'Application_Part(C)'!$D$5:$D$45</c:f>
              <c:numCache>
                <c:formatCode>General</c:formatCode>
                <c:ptCount val="41"/>
                <c:pt idx="0">
                  <c:v>8.4956341638383268</c:v>
                </c:pt>
                <c:pt idx="1">
                  <c:v>8.4764693167568659</c:v>
                </c:pt>
                <c:pt idx="2">
                  <c:v>8.4570852702979185</c:v>
                </c:pt>
                <c:pt idx="3">
                  <c:v>8.4374808962574939</c:v>
                </c:pt>
                <c:pt idx="4">
                  <c:v>8.4176551073184562</c:v>
                </c:pt>
                <c:pt idx="5">
                  <c:v>8.3976068585997705</c:v>
                </c:pt>
                <c:pt idx="6">
                  <c:v>8.3773351492178634</c:v>
                </c:pt>
                <c:pt idx="7">
                  <c:v>8.3568390238588961</c:v>
                </c:pt>
                <c:pt idx="8">
                  <c:v>8.336117574360463</c:v>
                </c:pt>
                <c:pt idx="9">
                  <c:v>8.315169941301404</c:v>
                </c:pt>
                <c:pt idx="10">
                  <c:v>8.2939953155981723</c:v>
                </c:pt>
                <c:pt idx="11">
                  <c:v>8.2725929401062164</c:v>
                </c:pt>
                <c:pt idx="12">
                  <c:v>8.2509621112247729</c:v>
                </c:pt>
                <c:pt idx="13">
                  <c:v>8.2291021805033306</c:v>
                </c:pt>
                <c:pt idx="14">
                  <c:v>8.20701255624809</c:v>
                </c:pt>
                <c:pt idx="15">
                  <c:v>8.1846927051265137</c:v>
                </c:pt>
                <c:pt idx="16">
                  <c:v>8.1621421537681726</c:v>
                </c:pt>
                <c:pt idx="17">
                  <c:v>8.1393604903598664</c:v>
                </c:pt>
                <c:pt idx="18">
                  <c:v>8.1163473662330929</c:v>
                </c:pt>
                <c:pt idx="19">
                  <c:v>8.0931024974417323</c:v>
                </c:pt>
                <c:pt idx="20">
                  <c:v>8.0696256663278927</c:v>
                </c:pt>
                <c:pt idx="21">
                  <c:v>8.0459167230736952</c:v>
                </c:pt>
                <c:pt idx="22">
                  <c:v>8.0219755872368133</c:v>
                </c:pt>
                <c:pt idx="23">
                  <c:v>7.9978022492674263</c:v>
                </c:pt>
                <c:pt idx="24">
                  <c:v>7.9733967720043566</c:v>
                </c:pt>
                <c:pt idx="25">
                  <c:v>7.9487592921479271</c:v>
                </c:pt>
                <c:pt idx="26">
                  <c:v>7.923890021707189</c:v>
                </c:pt>
                <c:pt idx="27">
                  <c:v>7.8987892494190293</c:v>
                </c:pt>
                <c:pt idx="28">
                  <c:v>7.8734573421367156</c:v>
                </c:pt>
                <c:pt idx="29">
                  <c:v>7.8478947461853146</c:v>
                </c:pt>
                <c:pt idx="30">
                  <c:v>7.82210198868147</c:v>
                </c:pt>
                <c:pt idx="31">
                  <c:v>7.7960796788149818</c:v>
                </c:pt>
                <c:pt idx="32">
                  <c:v>7.7698285090895478</c:v>
                </c:pt>
                <c:pt idx="33">
                  <c:v>7.7433492565201627</c:v>
                </c:pt>
                <c:pt idx="34">
                  <c:v>7.7166427837844598</c:v>
                </c:pt>
                <c:pt idx="35">
                  <c:v>7.6897100403254699</c:v>
                </c:pt>
                <c:pt idx="36">
                  <c:v>7.6625520634031625</c:v>
                </c:pt>
                <c:pt idx="37">
                  <c:v>7.6351699790921241</c:v>
                </c:pt>
                <c:pt idx="38">
                  <c:v>7.6075650032228825</c:v>
                </c:pt>
                <c:pt idx="39">
                  <c:v>7.5797384422642038</c:v>
                </c:pt>
                <c:pt idx="40">
                  <c:v>7.5516916941439023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033248"/>
        <c:axId val="406030504"/>
      </c:scatterChart>
      <c:valAx>
        <c:axId val="406030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031680"/>
        <c:crosses val="autoZero"/>
        <c:crossBetween val="midCat"/>
      </c:valAx>
      <c:valAx>
        <c:axId val="4060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030112"/>
        <c:crosses val="autoZero"/>
        <c:crossBetween val="midCat"/>
      </c:valAx>
      <c:valAx>
        <c:axId val="406030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033248"/>
        <c:crosses val="max"/>
        <c:crossBetween val="midCat"/>
      </c:valAx>
      <c:valAx>
        <c:axId val="406033248"/>
        <c:scaling>
          <c:orientation val="minMax"/>
        </c:scaling>
        <c:delete val="1"/>
        <c:axPos val="b"/>
        <c:numFmt formatCode="0.0000" sourceLinked="1"/>
        <c:majorTickMark val="out"/>
        <c:minorTickMark val="none"/>
        <c:tickLblPos val="nextTo"/>
        <c:crossAx val="406030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and Duration against Credit Spread Shock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'Application_Part(D)'!$C$4</c:f>
              <c:strCache>
                <c:ptCount val="1"/>
                <c:pt idx="0">
                  <c:v>Value (LHS)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'Application_Part(D)'!$B$5:$B$45</c:f>
              <c:numCache>
                <c:formatCode>0.0000</c:formatCode>
                <c:ptCount val="41"/>
                <c:pt idx="0">
                  <c:v>-0.02</c:v>
                </c:pt>
                <c:pt idx="1">
                  <c:v>-1.7500000000000002E-2</c:v>
                </c:pt>
                <c:pt idx="2">
                  <c:v>-1.5000000000000001E-2</c:v>
                </c:pt>
                <c:pt idx="3">
                  <c:v>-1.2500000000000001E-2</c:v>
                </c:pt>
                <c:pt idx="4">
                  <c:v>-0.01</c:v>
                </c:pt>
                <c:pt idx="5">
                  <c:v>-7.4999999999999997E-3</c:v>
                </c:pt>
                <c:pt idx="6">
                  <c:v>-4.9999999999999992E-3</c:v>
                </c:pt>
                <c:pt idx="7">
                  <c:v>-2.4999999999999992E-3</c:v>
                </c:pt>
                <c:pt idx="8">
                  <c:v>0</c:v>
                </c:pt>
                <c:pt idx="9">
                  <c:v>2.5000000000000001E-3</c:v>
                </c:pt>
                <c:pt idx="10">
                  <c:v>5.0000000000000001E-3</c:v>
                </c:pt>
                <c:pt idx="11">
                  <c:v>7.4999999999999997E-3</c:v>
                </c:pt>
                <c:pt idx="12">
                  <c:v>0.01</c:v>
                </c:pt>
                <c:pt idx="13">
                  <c:v>1.2500000000000001E-2</c:v>
                </c:pt>
                <c:pt idx="14">
                  <c:v>1.5000000000000001E-2</c:v>
                </c:pt>
                <c:pt idx="15">
                  <c:v>1.7500000000000002E-2</c:v>
                </c:pt>
                <c:pt idx="16">
                  <c:v>0.02</c:v>
                </c:pt>
                <c:pt idx="17">
                  <c:v>2.2499999999999999E-2</c:v>
                </c:pt>
                <c:pt idx="18">
                  <c:v>2.4999999999999998E-2</c:v>
                </c:pt>
                <c:pt idx="19">
                  <c:v>2.7499999999999997E-2</c:v>
                </c:pt>
                <c:pt idx="20">
                  <c:v>2.9999999999999995E-2</c:v>
                </c:pt>
                <c:pt idx="21">
                  <c:v>3.2499999999999994E-2</c:v>
                </c:pt>
                <c:pt idx="22">
                  <c:v>3.4999999999999996E-2</c:v>
                </c:pt>
                <c:pt idx="23">
                  <c:v>3.7499999999999999E-2</c:v>
                </c:pt>
                <c:pt idx="24">
                  <c:v>0.04</c:v>
                </c:pt>
                <c:pt idx="25">
                  <c:v>4.2500000000000003E-2</c:v>
                </c:pt>
                <c:pt idx="26">
                  <c:v>4.5000000000000005E-2</c:v>
                </c:pt>
                <c:pt idx="27">
                  <c:v>4.7500000000000007E-2</c:v>
                </c:pt>
                <c:pt idx="28">
                  <c:v>5.000000000000001E-2</c:v>
                </c:pt>
                <c:pt idx="29">
                  <c:v>5.2500000000000012E-2</c:v>
                </c:pt>
                <c:pt idx="30">
                  <c:v>5.5000000000000014E-2</c:v>
                </c:pt>
                <c:pt idx="31">
                  <c:v>5.7500000000000016E-2</c:v>
                </c:pt>
                <c:pt idx="32">
                  <c:v>6.0000000000000019E-2</c:v>
                </c:pt>
                <c:pt idx="33">
                  <c:v>6.2500000000000014E-2</c:v>
                </c:pt>
                <c:pt idx="34">
                  <c:v>6.5000000000000016E-2</c:v>
                </c:pt>
                <c:pt idx="35">
                  <c:v>6.7500000000000018E-2</c:v>
                </c:pt>
                <c:pt idx="36">
                  <c:v>7.0000000000000021E-2</c:v>
                </c:pt>
                <c:pt idx="37">
                  <c:v>7.2500000000000023E-2</c:v>
                </c:pt>
                <c:pt idx="38">
                  <c:v>7.5000000000000025E-2</c:v>
                </c:pt>
                <c:pt idx="39">
                  <c:v>7.7500000000000027E-2</c:v>
                </c:pt>
                <c:pt idx="40">
                  <c:v>8.0000000000000029E-2</c:v>
                </c:pt>
              </c:numCache>
            </c:numRef>
          </c:xVal>
          <c:yVal>
            <c:numRef>
              <c:f>'Application_Part(D)'!$C$5:$C$45</c:f>
              <c:numCache>
                <c:formatCode>General</c:formatCode>
                <c:ptCount val="41"/>
                <c:pt idx="0">
                  <c:v>121.29238525974134</c:v>
                </c:pt>
                <c:pt idx="1">
                  <c:v>118.74624994290045</c:v>
                </c:pt>
                <c:pt idx="2">
                  <c:v>116.25916429069807</c:v>
                </c:pt>
                <c:pt idx="3">
                  <c:v>113.82971689452648</c:v>
                </c:pt>
                <c:pt idx="4">
                  <c:v>111.45653051144957</c:v>
                </c:pt>
                <c:pt idx="5">
                  <c:v>109.1382612317756</c:v>
                </c:pt>
                <c:pt idx="6">
                  <c:v>106.87359766698843</c:v>
                </c:pt>
                <c:pt idx="7">
                  <c:v>104.66126015753747</c:v>
                </c:pt>
                <c:pt idx="8">
                  <c:v>102.50000000000003</c:v>
                </c:pt>
                <c:pt idx="9">
                  <c:v>100.38859869314084</c:v>
                </c:pt>
                <c:pt idx="10">
                  <c:v>98.325867202406059</c:v>
                </c:pt>
                <c:pt idx="11">
                  <c:v>96.310645242399133</c:v>
                </c:pt>
                <c:pt idx="12">
                  <c:v>94.341800576898649</c:v>
                </c:pt>
                <c:pt idx="13">
                  <c:v>92.418228335987607</c:v>
                </c:pt>
                <c:pt idx="14">
                  <c:v>90.538850349875091</c:v>
                </c:pt>
                <c:pt idx="15">
                  <c:v>88.702614499001257</c:v>
                </c:pt>
                <c:pt idx="16">
                  <c:v>86.908494080026244</c:v>
                </c:pt>
                <c:pt idx="17">
                  <c:v>85.155487187314478</c:v>
                </c:pt>
                <c:pt idx="18">
                  <c:v>83.442616109533844</c:v>
                </c:pt>
                <c:pt idx="19">
                  <c:v>81.768926741000101</c:v>
                </c:pt>
                <c:pt idx="20">
                  <c:v>80.133488007404935</c:v>
                </c:pt>
                <c:pt idx="21">
                  <c:v>78.535391305575104</c:v>
                </c:pt>
                <c:pt idx="22">
                  <c:v>76.973749956919278</c:v>
                </c:pt>
                <c:pt idx="23">
                  <c:v>75.447698674227098</c:v>
                </c:pt>
                <c:pt idx="24">
                  <c:v>73.9563930414932</c:v>
                </c:pt>
                <c:pt idx="25">
                  <c:v>72.49900900644748</c:v>
                </c:pt>
                <c:pt idx="26">
                  <c:v>71.074742385479993</c:v>
                </c:pt>
                <c:pt idx="27">
                  <c:v>69.682808380657377</c:v>
                </c:pt>
                <c:pt idx="28">
                  <c:v>68.322441108534122</c:v>
                </c:pt>
                <c:pt idx="29">
                  <c:v>66.992893140470144</c:v>
                </c:pt>
                <c:pt idx="30">
                  <c:v>65.693435054172923</c:v>
                </c:pt>
                <c:pt idx="31">
                  <c:v>64.423354996188976</c:v>
                </c:pt>
                <c:pt idx="32">
                  <c:v>63.181958255077014</c:v>
                </c:pt>
                <c:pt idx="33">
                  <c:v>61.968566845000794</c:v>
                </c:pt>
                <c:pt idx="34">
                  <c:v>60.782519099486862</c:v>
                </c:pt>
                <c:pt idx="35">
                  <c:v>59.623169275098121</c:v>
                </c:pt>
                <c:pt idx="36">
                  <c:v>58.48988716478047</c:v>
                </c:pt>
                <c:pt idx="37">
                  <c:v>57.382057720645889</c:v>
                </c:pt>
                <c:pt idx="38">
                  <c:v>56.299080685960632</c:v>
                </c:pt>
                <c:pt idx="39">
                  <c:v>55.240370236113542</c:v>
                </c:pt>
                <c:pt idx="40">
                  <c:v>54.205354628344409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032856"/>
        <c:axId val="406034032"/>
      </c:scatterChart>
      <c:scatterChart>
        <c:scatterStyle val="lineMarker"/>
        <c:varyColors val="0"/>
        <c:ser>
          <c:idx val="1"/>
          <c:order val="1"/>
          <c:tx>
            <c:strRef>
              <c:f>'Application_Part(D)'!$D$4</c:f>
              <c:strCache>
                <c:ptCount val="1"/>
                <c:pt idx="0">
                  <c:v>Duration (RHS)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'Application_Part(D)'!$B$5:$B$45</c:f>
              <c:numCache>
                <c:formatCode>0.0000</c:formatCode>
                <c:ptCount val="41"/>
                <c:pt idx="0">
                  <c:v>-0.02</c:v>
                </c:pt>
                <c:pt idx="1">
                  <c:v>-1.7500000000000002E-2</c:v>
                </c:pt>
                <c:pt idx="2">
                  <c:v>-1.5000000000000001E-2</c:v>
                </c:pt>
                <c:pt idx="3">
                  <c:v>-1.2500000000000001E-2</c:v>
                </c:pt>
                <c:pt idx="4">
                  <c:v>-0.01</c:v>
                </c:pt>
                <c:pt idx="5">
                  <c:v>-7.4999999999999997E-3</c:v>
                </c:pt>
                <c:pt idx="6">
                  <c:v>-4.9999999999999992E-3</c:v>
                </c:pt>
                <c:pt idx="7">
                  <c:v>-2.4999999999999992E-3</c:v>
                </c:pt>
                <c:pt idx="8">
                  <c:v>0</c:v>
                </c:pt>
                <c:pt idx="9">
                  <c:v>2.5000000000000001E-3</c:v>
                </c:pt>
                <c:pt idx="10">
                  <c:v>5.0000000000000001E-3</c:v>
                </c:pt>
                <c:pt idx="11">
                  <c:v>7.4999999999999997E-3</c:v>
                </c:pt>
                <c:pt idx="12">
                  <c:v>0.01</c:v>
                </c:pt>
                <c:pt idx="13">
                  <c:v>1.2500000000000001E-2</c:v>
                </c:pt>
                <c:pt idx="14">
                  <c:v>1.5000000000000001E-2</c:v>
                </c:pt>
                <c:pt idx="15">
                  <c:v>1.7500000000000002E-2</c:v>
                </c:pt>
                <c:pt idx="16">
                  <c:v>0.02</c:v>
                </c:pt>
                <c:pt idx="17">
                  <c:v>2.2499999999999999E-2</c:v>
                </c:pt>
                <c:pt idx="18">
                  <c:v>2.4999999999999998E-2</c:v>
                </c:pt>
                <c:pt idx="19">
                  <c:v>2.7499999999999997E-2</c:v>
                </c:pt>
                <c:pt idx="20">
                  <c:v>2.9999999999999995E-2</c:v>
                </c:pt>
                <c:pt idx="21">
                  <c:v>3.2499999999999994E-2</c:v>
                </c:pt>
                <c:pt idx="22">
                  <c:v>3.4999999999999996E-2</c:v>
                </c:pt>
                <c:pt idx="23">
                  <c:v>3.7499999999999999E-2</c:v>
                </c:pt>
                <c:pt idx="24">
                  <c:v>0.04</c:v>
                </c:pt>
                <c:pt idx="25">
                  <c:v>4.2500000000000003E-2</c:v>
                </c:pt>
                <c:pt idx="26">
                  <c:v>4.5000000000000005E-2</c:v>
                </c:pt>
                <c:pt idx="27">
                  <c:v>4.7500000000000007E-2</c:v>
                </c:pt>
                <c:pt idx="28">
                  <c:v>5.000000000000001E-2</c:v>
                </c:pt>
                <c:pt idx="29">
                  <c:v>5.2500000000000012E-2</c:v>
                </c:pt>
                <c:pt idx="30">
                  <c:v>5.5000000000000014E-2</c:v>
                </c:pt>
                <c:pt idx="31">
                  <c:v>5.7500000000000016E-2</c:v>
                </c:pt>
                <c:pt idx="32">
                  <c:v>6.0000000000000019E-2</c:v>
                </c:pt>
                <c:pt idx="33">
                  <c:v>6.2500000000000014E-2</c:v>
                </c:pt>
                <c:pt idx="34">
                  <c:v>6.5000000000000016E-2</c:v>
                </c:pt>
                <c:pt idx="35">
                  <c:v>6.7500000000000018E-2</c:v>
                </c:pt>
                <c:pt idx="36">
                  <c:v>7.0000000000000021E-2</c:v>
                </c:pt>
                <c:pt idx="37">
                  <c:v>7.2500000000000023E-2</c:v>
                </c:pt>
                <c:pt idx="38">
                  <c:v>7.5000000000000025E-2</c:v>
                </c:pt>
                <c:pt idx="39">
                  <c:v>7.7500000000000027E-2</c:v>
                </c:pt>
                <c:pt idx="40">
                  <c:v>8.0000000000000029E-2</c:v>
                </c:pt>
              </c:numCache>
            </c:numRef>
          </c:xVal>
          <c:yVal>
            <c:numRef>
              <c:f>'Application_Part(D)'!$D$5:$D$45</c:f>
              <c:numCache>
                <c:formatCode>General</c:formatCode>
                <c:ptCount val="41"/>
                <c:pt idx="0">
                  <c:v>8.4956341638383286</c:v>
                </c:pt>
                <c:pt idx="1">
                  <c:v>8.4764693167568659</c:v>
                </c:pt>
                <c:pt idx="2">
                  <c:v>8.4570852702979185</c:v>
                </c:pt>
                <c:pt idx="3">
                  <c:v>8.4374808962574956</c:v>
                </c:pt>
                <c:pt idx="4">
                  <c:v>8.417655107318458</c:v>
                </c:pt>
                <c:pt idx="5">
                  <c:v>8.3976068585997687</c:v>
                </c:pt>
                <c:pt idx="6">
                  <c:v>8.3773351492178634</c:v>
                </c:pt>
                <c:pt idx="7">
                  <c:v>8.3568390238588961</c:v>
                </c:pt>
                <c:pt idx="8">
                  <c:v>8.336117574360463</c:v>
                </c:pt>
                <c:pt idx="9">
                  <c:v>8.3151699413014022</c:v>
                </c:pt>
                <c:pt idx="10">
                  <c:v>8.2939953155981705</c:v>
                </c:pt>
                <c:pt idx="11">
                  <c:v>8.2725929401062164</c:v>
                </c:pt>
                <c:pt idx="12">
                  <c:v>8.2509621112247711</c:v>
                </c:pt>
                <c:pt idx="13">
                  <c:v>8.2291021805033306</c:v>
                </c:pt>
                <c:pt idx="14">
                  <c:v>8.2070125562480882</c:v>
                </c:pt>
                <c:pt idx="15">
                  <c:v>8.1846927051265137</c:v>
                </c:pt>
                <c:pt idx="16">
                  <c:v>8.1621421537681709</c:v>
                </c:pt>
                <c:pt idx="17">
                  <c:v>8.1393604903598664</c:v>
                </c:pt>
                <c:pt idx="18">
                  <c:v>8.1163473662330929</c:v>
                </c:pt>
                <c:pt idx="19">
                  <c:v>8.0931024974417323</c:v>
                </c:pt>
                <c:pt idx="20">
                  <c:v>8.0696256663278909</c:v>
                </c:pt>
                <c:pt idx="21">
                  <c:v>8.0459167230736952</c:v>
                </c:pt>
                <c:pt idx="22">
                  <c:v>8.0219755872368115</c:v>
                </c:pt>
                <c:pt idx="23">
                  <c:v>7.9978022492674263</c:v>
                </c:pt>
                <c:pt idx="24">
                  <c:v>7.9733967720043566</c:v>
                </c:pt>
                <c:pt idx="25">
                  <c:v>7.9487592921479271</c:v>
                </c:pt>
                <c:pt idx="26">
                  <c:v>7.9238900217071873</c:v>
                </c:pt>
                <c:pt idx="27">
                  <c:v>7.8987892494190293</c:v>
                </c:pt>
                <c:pt idx="28">
                  <c:v>7.8734573421367156</c:v>
                </c:pt>
                <c:pt idx="29">
                  <c:v>7.8478947461853146</c:v>
                </c:pt>
                <c:pt idx="30">
                  <c:v>7.8221019886814718</c:v>
                </c:pt>
                <c:pt idx="31">
                  <c:v>7.7960796788149818</c:v>
                </c:pt>
                <c:pt idx="32">
                  <c:v>7.7698285090895478</c:v>
                </c:pt>
                <c:pt idx="33">
                  <c:v>7.7433492565201627</c:v>
                </c:pt>
                <c:pt idx="34">
                  <c:v>7.7166427837844589</c:v>
                </c:pt>
                <c:pt idx="35">
                  <c:v>7.6897100403254699</c:v>
                </c:pt>
                <c:pt idx="36">
                  <c:v>7.6625520634031625</c:v>
                </c:pt>
                <c:pt idx="37">
                  <c:v>7.6351699790921241</c:v>
                </c:pt>
                <c:pt idx="38">
                  <c:v>7.6075650032228825</c:v>
                </c:pt>
                <c:pt idx="39">
                  <c:v>7.5797384422642047</c:v>
                </c:pt>
                <c:pt idx="40">
                  <c:v>7.5516916941439032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034816"/>
        <c:axId val="406034424"/>
      </c:scatterChart>
      <c:valAx>
        <c:axId val="406032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034032"/>
        <c:crosses val="autoZero"/>
        <c:crossBetween val="midCat"/>
      </c:valAx>
      <c:valAx>
        <c:axId val="40603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032856"/>
        <c:crosses val="autoZero"/>
        <c:crossBetween val="midCat"/>
      </c:valAx>
      <c:valAx>
        <c:axId val="406034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034816"/>
        <c:crosses val="max"/>
        <c:crossBetween val="midCat"/>
      </c:valAx>
      <c:valAx>
        <c:axId val="406034816"/>
        <c:scaling>
          <c:orientation val="minMax"/>
        </c:scaling>
        <c:delete val="1"/>
        <c:axPos val="b"/>
        <c:numFmt formatCode="0.0000" sourceLinked="1"/>
        <c:majorTickMark val="out"/>
        <c:minorTickMark val="none"/>
        <c:tickLblPos val="nextTo"/>
        <c:crossAx val="406034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and Duration against Zero Rate Shock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'Application_Part(H)'!$C$4</c:f>
              <c:strCache>
                <c:ptCount val="1"/>
                <c:pt idx="0">
                  <c:v>Value (LHS)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'Application_Part(H)'!$B$5:$B$45</c:f>
              <c:numCache>
                <c:formatCode>0.0000</c:formatCode>
                <c:ptCount val="41"/>
                <c:pt idx="0">
                  <c:v>-0.02</c:v>
                </c:pt>
                <c:pt idx="1">
                  <c:v>-1.7500000000000002E-2</c:v>
                </c:pt>
                <c:pt idx="2">
                  <c:v>-1.5000000000000001E-2</c:v>
                </c:pt>
                <c:pt idx="3">
                  <c:v>-1.2500000000000001E-2</c:v>
                </c:pt>
                <c:pt idx="4">
                  <c:v>-0.01</c:v>
                </c:pt>
                <c:pt idx="5">
                  <c:v>-7.4999999999999997E-3</c:v>
                </c:pt>
                <c:pt idx="6">
                  <c:v>-4.9999999999999992E-3</c:v>
                </c:pt>
                <c:pt idx="7">
                  <c:v>-2.4999999999999992E-3</c:v>
                </c:pt>
                <c:pt idx="8">
                  <c:v>0</c:v>
                </c:pt>
                <c:pt idx="9">
                  <c:v>2.5000000000000001E-3</c:v>
                </c:pt>
                <c:pt idx="10">
                  <c:v>5.0000000000000001E-3</c:v>
                </c:pt>
                <c:pt idx="11">
                  <c:v>7.4999999999999997E-3</c:v>
                </c:pt>
                <c:pt idx="12">
                  <c:v>0.01</c:v>
                </c:pt>
                <c:pt idx="13">
                  <c:v>1.2500000000000001E-2</c:v>
                </c:pt>
                <c:pt idx="14">
                  <c:v>1.5000000000000001E-2</c:v>
                </c:pt>
                <c:pt idx="15">
                  <c:v>1.7500000000000002E-2</c:v>
                </c:pt>
                <c:pt idx="16">
                  <c:v>0.02</c:v>
                </c:pt>
                <c:pt idx="17">
                  <c:v>2.2499999999999999E-2</c:v>
                </c:pt>
                <c:pt idx="18">
                  <c:v>2.4999999999999998E-2</c:v>
                </c:pt>
                <c:pt idx="19">
                  <c:v>2.7499999999999997E-2</c:v>
                </c:pt>
                <c:pt idx="20">
                  <c:v>2.9999999999999995E-2</c:v>
                </c:pt>
                <c:pt idx="21">
                  <c:v>3.2499999999999994E-2</c:v>
                </c:pt>
                <c:pt idx="22">
                  <c:v>3.4999999999999996E-2</c:v>
                </c:pt>
                <c:pt idx="23">
                  <c:v>3.7499999999999999E-2</c:v>
                </c:pt>
                <c:pt idx="24">
                  <c:v>0.04</c:v>
                </c:pt>
                <c:pt idx="25">
                  <c:v>4.2500000000000003E-2</c:v>
                </c:pt>
                <c:pt idx="26">
                  <c:v>4.5000000000000005E-2</c:v>
                </c:pt>
                <c:pt idx="27">
                  <c:v>4.7500000000000007E-2</c:v>
                </c:pt>
                <c:pt idx="28">
                  <c:v>5.000000000000001E-2</c:v>
                </c:pt>
                <c:pt idx="29">
                  <c:v>5.2500000000000012E-2</c:v>
                </c:pt>
                <c:pt idx="30">
                  <c:v>5.5000000000000014E-2</c:v>
                </c:pt>
                <c:pt idx="31">
                  <c:v>5.7500000000000016E-2</c:v>
                </c:pt>
                <c:pt idx="32">
                  <c:v>6.0000000000000019E-2</c:v>
                </c:pt>
                <c:pt idx="33">
                  <c:v>6.2500000000000014E-2</c:v>
                </c:pt>
                <c:pt idx="34">
                  <c:v>6.5000000000000016E-2</c:v>
                </c:pt>
                <c:pt idx="35">
                  <c:v>6.7500000000000018E-2</c:v>
                </c:pt>
                <c:pt idx="36">
                  <c:v>7.0000000000000021E-2</c:v>
                </c:pt>
                <c:pt idx="37">
                  <c:v>7.2500000000000023E-2</c:v>
                </c:pt>
                <c:pt idx="38">
                  <c:v>7.5000000000000025E-2</c:v>
                </c:pt>
                <c:pt idx="39">
                  <c:v>7.7500000000000027E-2</c:v>
                </c:pt>
                <c:pt idx="40">
                  <c:v>8.0000000000000029E-2</c:v>
                </c:pt>
              </c:numCache>
            </c:numRef>
          </c:xVal>
          <c:yVal>
            <c:numRef>
              <c:f>'Application_Part(H)'!$C$5:$C$45</c:f>
              <c:numCache>
                <c:formatCode>General</c:formatCode>
                <c:ptCount val="41"/>
                <c:pt idx="0">
                  <c:v>99.500670944185359</c:v>
                </c:pt>
                <c:pt idx="1">
                  <c:v>99.500538708343484</c:v>
                </c:pt>
                <c:pt idx="2">
                  <c:v>99.500420795724537</c:v>
                </c:pt>
                <c:pt idx="3">
                  <c:v>99.500316949741432</c:v>
                </c:pt>
                <c:pt idx="4">
                  <c:v>99.500226917579624</c:v>
                </c:pt>
                <c:pt idx="5">
                  <c:v>99.500150450144773</c:v>
                </c:pt>
                <c:pt idx="6">
                  <c:v>99.500087302012091</c:v>
                </c:pt>
                <c:pt idx="7">
                  <c:v>99.500037231375885</c:v>
                </c:pt>
                <c:pt idx="8">
                  <c:v>99.500000000000014</c:v>
                </c:pt>
                <c:pt idx="9">
                  <c:v>99.499975373168638</c:v>
                </c:pt>
                <c:pt idx="10">
                  <c:v>99.499963119638281</c:v>
                </c:pt>
                <c:pt idx="11">
                  <c:v>99.499963011589614</c:v>
                </c:pt>
                <c:pt idx="12">
                  <c:v>99.499974824580789</c:v>
                </c:pt>
                <c:pt idx="13">
                  <c:v>99.499998337500799</c:v>
                </c:pt>
                <c:pt idx="14">
                  <c:v>99.500033332523657</c:v>
                </c:pt>
                <c:pt idx="15">
                  <c:v>99.500079595063298</c:v>
                </c:pt>
                <c:pt idx="16">
                  <c:v>99.50013691372861</c:v>
                </c:pt>
                <c:pt idx="17">
                  <c:v>99.500205080279926</c:v>
                </c:pt>
                <c:pt idx="18">
                  <c:v>99.500283889585063</c:v>
                </c:pt>
                <c:pt idx="19">
                  <c:v>99.500373139576737</c:v>
                </c:pt>
                <c:pt idx="20">
                  <c:v>99.500472631210229</c:v>
                </c:pt>
                <c:pt idx="21">
                  <c:v>99.500582168421644</c:v>
                </c:pt>
                <c:pt idx="22">
                  <c:v>99.500701558086575</c:v>
                </c:pt>
                <c:pt idx="23">
                  <c:v>99.500830609979715</c:v>
                </c:pt>
                <c:pt idx="24">
                  <c:v>99.500969136734597</c:v>
                </c:pt>
                <c:pt idx="25">
                  <c:v>99.501116953804058</c:v>
                </c:pt>
                <c:pt idx="26">
                  <c:v>99.501273879421277</c:v>
                </c:pt>
                <c:pt idx="27">
                  <c:v>99.50143973456116</c:v>
                </c:pt>
                <c:pt idx="28">
                  <c:v>99.501614342902343</c:v>
                </c:pt>
                <c:pt idx="29">
                  <c:v>99.501797530789901</c:v>
                </c:pt>
                <c:pt idx="30">
                  <c:v>99.501989127198158</c:v>
                </c:pt>
                <c:pt idx="31">
                  <c:v>99.502188963694095</c:v>
                </c:pt>
                <c:pt idx="32">
                  <c:v>99.502396874401626</c:v>
                </c:pt>
                <c:pt idx="33">
                  <c:v>99.502612695965809</c:v>
                </c:pt>
                <c:pt idx="34">
                  <c:v>99.502836267517949</c:v>
                </c:pt>
                <c:pt idx="35">
                  <c:v>99.503067430640954</c:v>
                </c:pt>
                <c:pt idx="36">
                  <c:v>99.503306029335192</c:v>
                </c:pt>
                <c:pt idx="37">
                  <c:v>99.503551909984807</c:v>
                </c:pt>
                <c:pt idx="38">
                  <c:v>99.503804921324516</c:v>
                </c:pt>
                <c:pt idx="39">
                  <c:v>99.504064914406911</c:v>
                </c:pt>
                <c:pt idx="40">
                  <c:v>99.504331742569931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711848"/>
        <c:axId val="474716944"/>
      </c:scatterChart>
      <c:scatterChart>
        <c:scatterStyle val="smoothMarker"/>
        <c:varyColors val="0"/>
        <c:ser>
          <c:idx val="1"/>
          <c:order val="1"/>
          <c:tx>
            <c:strRef>
              <c:f>'Application_Part(H)'!$D$4</c:f>
              <c:strCache>
                <c:ptCount val="1"/>
                <c:pt idx="0">
                  <c:v>Duration (RHS)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'Application_Part(H)'!$B$5:$B$45</c:f>
              <c:numCache>
                <c:formatCode>0.0000</c:formatCode>
                <c:ptCount val="41"/>
                <c:pt idx="0">
                  <c:v>-0.02</c:v>
                </c:pt>
                <c:pt idx="1">
                  <c:v>-1.7500000000000002E-2</c:v>
                </c:pt>
                <c:pt idx="2">
                  <c:v>-1.5000000000000001E-2</c:v>
                </c:pt>
                <c:pt idx="3">
                  <c:v>-1.2500000000000001E-2</c:v>
                </c:pt>
                <c:pt idx="4">
                  <c:v>-0.01</c:v>
                </c:pt>
                <c:pt idx="5">
                  <c:v>-7.4999999999999997E-3</c:v>
                </c:pt>
                <c:pt idx="6">
                  <c:v>-4.9999999999999992E-3</c:v>
                </c:pt>
                <c:pt idx="7">
                  <c:v>-2.4999999999999992E-3</c:v>
                </c:pt>
                <c:pt idx="8">
                  <c:v>0</c:v>
                </c:pt>
                <c:pt idx="9">
                  <c:v>2.5000000000000001E-3</c:v>
                </c:pt>
                <c:pt idx="10">
                  <c:v>5.0000000000000001E-3</c:v>
                </c:pt>
                <c:pt idx="11">
                  <c:v>7.4999999999999997E-3</c:v>
                </c:pt>
                <c:pt idx="12">
                  <c:v>0.01</c:v>
                </c:pt>
                <c:pt idx="13">
                  <c:v>1.2500000000000001E-2</c:v>
                </c:pt>
                <c:pt idx="14">
                  <c:v>1.5000000000000001E-2</c:v>
                </c:pt>
                <c:pt idx="15">
                  <c:v>1.7500000000000002E-2</c:v>
                </c:pt>
                <c:pt idx="16">
                  <c:v>0.02</c:v>
                </c:pt>
                <c:pt idx="17">
                  <c:v>2.2499999999999999E-2</c:v>
                </c:pt>
                <c:pt idx="18">
                  <c:v>2.4999999999999998E-2</c:v>
                </c:pt>
                <c:pt idx="19">
                  <c:v>2.7499999999999997E-2</c:v>
                </c:pt>
                <c:pt idx="20">
                  <c:v>2.9999999999999995E-2</c:v>
                </c:pt>
                <c:pt idx="21">
                  <c:v>3.2499999999999994E-2</c:v>
                </c:pt>
                <c:pt idx="22">
                  <c:v>3.4999999999999996E-2</c:v>
                </c:pt>
                <c:pt idx="23">
                  <c:v>3.7499999999999999E-2</c:v>
                </c:pt>
                <c:pt idx="24">
                  <c:v>0.04</c:v>
                </c:pt>
                <c:pt idx="25">
                  <c:v>4.2500000000000003E-2</c:v>
                </c:pt>
                <c:pt idx="26">
                  <c:v>4.5000000000000005E-2</c:v>
                </c:pt>
                <c:pt idx="27">
                  <c:v>4.7500000000000007E-2</c:v>
                </c:pt>
                <c:pt idx="28">
                  <c:v>5.000000000000001E-2</c:v>
                </c:pt>
                <c:pt idx="29">
                  <c:v>5.2500000000000012E-2</c:v>
                </c:pt>
                <c:pt idx="30">
                  <c:v>5.5000000000000014E-2</c:v>
                </c:pt>
                <c:pt idx="31">
                  <c:v>5.7500000000000016E-2</c:v>
                </c:pt>
                <c:pt idx="32">
                  <c:v>6.0000000000000019E-2</c:v>
                </c:pt>
                <c:pt idx="33">
                  <c:v>6.2500000000000014E-2</c:v>
                </c:pt>
                <c:pt idx="34">
                  <c:v>6.5000000000000016E-2</c:v>
                </c:pt>
                <c:pt idx="35">
                  <c:v>6.7500000000000018E-2</c:v>
                </c:pt>
                <c:pt idx="36">
                  <c:v>7.0000000000000021E-2</c:v>
                </c:pt>
                <c:pt idx="37">
                  <c:v>7.2500000000000023E-2</c:v>
                </c:pt>
                <c:pt idx="38">
                  <c:v>7.5000000000000025E-2</c:v>
                </c:pt>
                <c:pt idx="39">
                  <c:v>7.7500000000000027E-2</c:v>
                </c:pt>
                <c:pt idx="40">
                  <c:v>8.0000000000000029E-2</c:v>
                </c:pt>
              </c:numCache>
            </c:numRef>
          </c:xVal>
          <c:yVal>
            <c:numRef>
              <c:f>'Application_Part(H)'!$D$5:$D$45</c:f>
              <c:numCache>
                <c:formatCode>General</c:formatCode>
                <c:ptCount val="41"/>
                <c:pt idx="0">
                  <c:v>5.6073593876347692E-4</c:v>
                </c:pt>
                <c:pt idx="1">
                  <c:v>5.0263534418473299E-4</c:v>
                </c:pt>
                <c:pt idx="2">
                  <c:v>4.4557367447353458E-4</c:v>
                </c:pt>
                <c:pt idx="3">
                  <c:v>3.8953570627287242E-4</c:v>
                </c:pt>
                <c:pt idx="4">
                  <c:v>3.3450639607782834E-4</c:v>
                </c:pt>
                <c:pt idx="5">
                  <c:v>2.8047092385503149E-4</c:v>
                </c:pt>
                <c:pt idx="6">
                  <c:v>2.2741466096446288E-4</c:v>
                </c:pt>
                <c:pt idx="7">
                  <c:v>1.7532318306837978E-4</c:v>
                </c:pt>
                <c:pt idx="8">
                  <c:v>1.2418226161507525E-4</c:v>
                </c:pt>
                <c:pt idx="9">
                  <c:v>7.397786246198963E-5</c:v>
                </c:pt>
                <c:pt idx="10">
                  <c:v>2.4696141640657904E-5</c:v>
                </c:pt>
                <c:pt idx="11">
                  <c:v>-2.3676551738866503E-5</c:v>
                </c:pt>
                <c:pt idx="12">
                  <c:v>-7.1153680440447153E-5</c:v>
                </c:pt>
                <c:pt idx="13">
                  <c:v>-1.1774853191110952E-4</c:v>
                </c:pt>
                <c:pt idx="14">
                  <c:v>-1.6347420252725635E-4</c:v>
                </c:pt>
                <c:pt idx="15">
                  <c:v>-2.0834360826455506E-4</c:v>
                </c:pt>
                <c:pt idx="16">
                  <c:v>-2.5236949893979552E-4</c:v>
                </c:pt>
                <c:pt idx="17">
                  <c:v>-2.9556444031904338E-4</c:v>
                </c:pt>
                <c:pt idx="18">
                  <c:v>-3.3794082193521429E-4</c:v>
                </c:pt>
                <c:pt idx="19">
                  <c:v>-3.7951087633269467E-4</c:v>
                </c:pt>
                <c:pt idx="20">
                  <c:v>-4.2028665403830655E-4</c:v>
                </c:pt>
                <c:pt idx="21">
                  <c:v>-4.6028004637895729E-4</c:v>
                </c:pt>
                <c:pt idx="22">
                  <c:v>-4.9950278187833408E-4</c:v>
                </c:pt>
                <c:pt idx="23">
                  <c:v>-5.3796642765352356E-4</c:v>
                </c:pt>
                <c:pt idx="24">
                  <c:v>-5.7568238581399793E-4</c:v>
                </c:pt>
                <c:pt idx="25">
                  <c:v>-6.1266190557203806E-4</c:v>
                </c:pt>
                <c:pt idx="26">
                  <c:v>-6.4891608107202218E-4</c:v>
                </c:pt>
                <c:pt idx="27">
                  <c:v>-6.8445585636178611E-4</c:v>
                </c:pt>
                <c:pt idx="28">
                  <c:v>-7.1929201108417704E-4</c:v>
                </c:pt>
                <c:pt idx="29">
                  <c:v>-7.5343519044394967E-4</c:v>
                </c:pt>
                <c:pt idx="30">
                  <c:v>-7.8689588947293164E-4</c:v>
                </c:pt>
                <c:pt idx="31">
                  <c:v>-8.1968444943592673E-4</c:v>
                </c:pt>
                <c:pt idx="32">
                  <c:v>-8.5181108065909676E-4</c:v>
                </c:pt>
                <c:pt idx="33">
                  <c:v>-8.8328583680048604E-4</c:v>
                </c:pt>
                <c:pt idx="34">
                  <c:v>-9.1411865053369213E-4</c:v>
                </c:pt>
                <c:pt idx="35">
                  <c:v>-9.4431930067909913E-4</c:v>
                </c:pt>
                <c:pt idx="36">
                  <c:v>-9.7389743860577175E-4</c:v>
                </c:pt>
                <c:pt idx="37">
                  <c:v>-1.0028625775011647E-3</c:v>
                </c:pt>
                <c:pt idx="38">
                  <c:v>-1.0312241023502102E-3</c:v>
                </c:pt>
                <c:pt idx="39">
                  <c:v>-1.05899126277694E-3</c:v>
                </c:pt>
                <c:pt idx="40">
                  <c:v>-1.0861731873093756E-3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130744"/>
        <c:axId val="482135840"/>
      </c:scatterChart>
      <c:valAx>
        <c:axId val="474711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16944"/>
        <c:crosses val="autoZero"/>
        <c:crossBetween val="midCat"/>
      </c:valAx>
      <c:valAx>
        <c:axId val="47471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11848"/>
        <c:crosses val="autoZero"/>
        <c:crossBetween val="midCat"/>
      </c:valAx>
      <c:valAx>
        <c:axId val="4821358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30744"/>
        <c:crosses val="max"/>
        <c:crossBetween val="midCat"/>
      </c:valAx>
      <c:valAx>
        <c:axId val="482130744"/>
        <c:scaling>
          <c:orientation val="minMax"/>
        </c:scaling>
        <c:delete val="1"/>
        <c:axPos val="b"/>
        <c:numFmt formatCode="0.0000" sourceLinked="1"/>
        <c:majorTickMark val="out"/>
        <c:minorTickMark val="none"/>
        <c:tickLblPos val="nextTo"/>
        <c:crossAx val="482135840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</a:t>
            </a:r>
            <a:r>
              <a:rPr lang="en-US" baseline="0"/>
              <a:t> and Duration against Z Spread Shock</a:t>
            </a:r>
            <a:r>
              <a:rPr lang="en-US"/>
              <a:t>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'Application_Part(I)'!$C$4</c:f>
              <c:strCache>
                <c:ptCount val="1"/>
                <c:pt idx="0">
                  <c:v>Value (LHS)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'Application_Part(I)'!$B$5:$B$45</c:f>
              <c:numCache>
                <c:formatCode>0.0000</c:formatCode>
                <c:ptCount val="41"/>
                <c:pt idx="0">
                  <c:v>-0.02</c:v>
                </c:pt>
                <c:pt idx="1">
                  <c:v>-1.7500000000000002E-2</c:v>
                </c:pt>
                <c:pt idx="2">
                  <c:v>-1.5000000000000001E-2</c:v>
                </c:pt>
                <c:pt idx="3">
                  <c:v>-1.2500000000000001E-2</c:v>
                </c:pt>
                <c:pt idx="4">
                  <c:v>-0.01</c:v>
                </c:pt>
                <c:pt idx="5">
                  <c:v>-7.4999999999999997E-3</c:v>
                </c:pt>
                <c:pt idx="6">
                  <c:v>-4.9999999999999992E-3</c:v>
                </c:pt>
                <c:pt idx="7">
                  <c:v>-2.4999999999999992E-3</c:v>
                </c:pt>
                <c:pt idx="8">
                  <c:v>0</c:v>
                </c:pt>
                <c:pt idx="9">
                  <c:v>2.5000000000000001E-3</c:v>
                </c:pt>
                <c:pt idx="10">
                  <c:v>5.0000000000000001E-3</c:v>
                </c:pt>
                <c:pt idx="11">
                  <c:v>7.4999999999999997E-3</c:v>
                </c:pt>
                <c:pt idx="12">
                  <c:v>0.01</c:v>
                </c:pt>
                <c:pt idx="13">
                  <c:v>1.2500000000000001E-2</c:v>
                </c:pt>
                <c:pt idx="14">
                  <c:v>1.5000000000000001E-2</c:v>
                </c:pt>
                <c:pt idx="15">
                  <c:v>1.7500000000000002E-2</c:v>
                </c:pt>
                <c:pt idx="16">
                  <c:v>0.02</c:v>
                </c:pt>
                <c:pt idx="17">
                  <c:v>2.2499999999999999E-2</c:v>
                </c:pt>
                <c:pt idx="18">
                  <c:v>2.4999999999999998E-2</c:v>
                </c:pt>
                <c:pt idx="19">
                  <c:v>2.7499999999999997E-2</c:v>
                </c:pt>
                <c:pt idx="20">
                  <c:v>2.9999999999999995E-2</c:v>
                </c:pt>
                <c:pt idx="21">
                  <c:v>3.2499999999999994E-2</c:v>
                </c:pt>
                <c:pt idx="22">
                  <c:v>3.4999999999999996E-2</c:v>
                </c:pt>
                <c:pt idx="23">
                  <c:v>3.7499999999999999E-2</c:v>
                </c:pt>
                <c:pt idx="24">
                  <c:v>0.04</c:v>
                </c:pt>
                <c:pt idx="25">
                  <c:v>4.2500000000000003E-2</c:v>
                </c:pt>
                <c:pt idx="26">
                  <c:v>4.5000000000000005E-2</c:v>
                </c:pt>
                <c:pt idx="27">
                  <c:v>4.7500000000000007E-2</c:v>
                </c:pt>
                <c:pt idx="28">
                  <c:v>5.000000000000001E-2</c:v>
                </c:pt>
                <c:pt idx="29">
                  <c:v>5.2500000000000012E-2</c:v>
                </c:pt>
                <c:pt idx="30">
                  <c:v>5.5000000000000014E-2</c:v>
                </c:pt>
                <c:pt idx="31">
                  <c:v>5.7500000000000016E-2</c:v>
                </c:pt>
                <c:pt idx="32">
                  <c:v>6.0000000000000019E-2</c:v>
                </c:pt>
                <c:pt idx="33">
                  <c:v>6.2500000000000014E-2</c:v>
                </c:pt>
                <c:pt idx="34">
                  <c:v>6.5000000000000016E-2</c:v>
                </c:pt>
                <c:pt idx="35">
                  <c:v>6.7500000000000018E-2</c:v>
                </c:pt>
                <c:pt idx="36">
                  <c:v>7.0000000000000021E-2</c:v>
                </c:pt>
                <c:pt idx="37">
                  <c:v>7.2500000000000023E-2</c:v>
                </c:pt>
                <c:pt idx="38">
                  <c:v>7.5000000000000025E-2</c:v>
                </c:pt>
                <c:pt idx="39">
                  <c:v>7.7500000000000027E-2</c:v>
                </c:pt>
                <c:pt idx="40">
                  <c:v>8.0000000000000029E-2</c:v>
                </c:pt>
              </c:numCache>
            </c:numRef>
          </c:xVal>
          <c:yVal>
            <c:numRef>
              <c:f>'Application_Part(I)'!$C$5:$C$45</c:f>
              <c:numCache>
                <c:formatCode>General</c:formatCode>
                <c:ptCount val="41"/>
                <c:pt idx="0">
                  <c:v>109.4275176587843</c:v>
                </c:pt>
                <c:pt idx="1">
                  <c:v>108.13267180136698</c:v>
                </c:pt>
                <c:pt idx="2">
                  <c:v>106.8536101032999</c:v>
                </c:pt>
                <c:pt idx="3">
                  <c:v>105.59013839573615</c:v>
                </c:pt>
                <c:pt idx="4">
                  <c:v>104.34206490761983</c:v>
                </c:pt>
                <c:pt idx="5">
                  <c:v>103.10920023601719</c:v>
                </c:pt>
                <c:pt idx="6">
                  <c:v>101.89135731681561</c:v>
                </c:pt>
                <c:pt idx="7">
                  <c:v>100.68835139578539</c:v>
                </c:pt>
                <c:pt idx="8">
                  <c:v>99.500000000000014</c:v>
                </c:pt>
                <c:pt idx="9">
                  <c:v>98.326122909610376</c:v>
                </c:pt>
                <c:pt idx="10">
                  <c:v>97.166542129968818</c:v>
                </c:pt>
                <c:pt idx="11">
                  <c:v>96.021081864098349</c:v>
                </c:pt>
                <c:pt idx="12">
                  <c:v>94.889568485502664</c:v>
                </c:pt>
                <c:pt idx="13">
                  <c:v>93.771830511313524</c:v>
                </c:pt>
                <c:pt idx="14">
                  <c:v>92.667698575770046</c:v>
                </c:pt>
                <c:pt idx="15">
                  <c:v>91.577005404027048</c:v>
                </c:pt>
                <c:pt idx="16">
                  <c:v>90.499585786287511</c:v>
                </c:pt>
                <c:pt idx="17">
                  <c:v>89.435276552255516</c:v>
                </c:pt>
                <c:pt idx="18">
                  <c:v>88.383916545905663</c:v>
                </c:pt>
                <c:pt idx="19">
                  <c:v>87.345346600564881</c:v>
                </c:pt>
                <c:pt idx="20">
                  <c:v>86.319409514303004</c:v>
                </c:pt>
                <c:pt idx="21">
                  <c:v>85.305950025627993</c:v>
                </c:pt>
                <c:pt idx="22">
                  <c:v>84.304814789482307</c:v>
                </c:pt>
                <c:pt idx="23">
                  <c:v>83.315852353536627</c:v>
                </c:pt>
                <c:pt idx="24">
                  <c:v>82.338913134776874</c:v>
                </c:pt>
                <c:pt idx="25">
                  <c:v>81.373849396381701</c:v>
                </c:pt>
                <c:pt idx="26">
                  <c:v>80.420515224885833</c:v>
                </c:pt>
                <c:pt idx="27">
                  <c:v>79.478766507626673</c:v>
                </c:pt>
                <c:pt idx="28">
                  <c:v>78.548460910469856</c:v>
                </c:pt>
                <c:pt idx="29">
                  <c:v>77.629457855811069</c:v>
                </c:pt>
                <c:pt idx="30">
                  <c:v>76.721618500849928</c:v>
                </c:pt>
                <c:pt idx="31">
                  <c:v>75.824805716133113</c:v>
                </c:pt>
                <c:pt idx="32">
                  <c:v>74.938884064363222</c:v>
                </c:pt>
                <c:pt idx="33">
                  <c:v>74.063719779470105</c:v>
                </c:pt>
                <c:pt idx="34">
                  <c:v>73.199180745941192</c:v>
                </c:pt>
                <c:pt idx="35">
                  <c:v>72.345136478407994</c:v>
                </c:pt>
                <c:pt idx="36">
                  <c:v>71.501458101485326</c:v>
                </c:pt>
                <c:pt idx="37">
                  <c:v>70.668018329860203</c:v>
                </c:pt>
                <c:pt idx="38">
                  <c:v>69.844691448627245</c:v>
                </c:pt>
                <c:pt idx="39">
                  <c:v>69.031353293867738</c:v>
                </c:pt>
                <c:pt idx="40">
                  <c:v>68.227881233469006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135056"/>
        <c:axId val="482134664"/>
      </c:scatterChart>
      <c:scatterChart>
        <c:scatterStyle val="smoothMarker"/>
        <c:varyColors val="0"/>
        <c:ser>
          <c:idx val="1"/>
          <c:order val="1"/>
          <c:tx>
            <c:strRef>
              <c:f>'Application_Part(I)'!$D$4</c:f>
              <c:strCache>
                <c:ptCount val="1"/>
                <c:pt idx="0">
                  <c:v>Duration (RHS)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'Application_Part(I)'!$B$5:$B$45</c:f>
              <c:numCache>
                <c:formatCode>0.0000</c:formatCode>
                <c:ptCount val="41"/>
                <c:pt idx="0">
                  <c:v>-0.02</c:v>
                </c:pt>
                <c:pt idx="1">
                  <c:v>-1.7500000000000002E-2</c:v>
                </c:pt>
                <c:pt idx="2">
                  <c:v>-1.5000000000000001E-2</c:v>
                </c:pt>
                <c:pt idx="3">
                  <c:v>-1.2500000000000001E-2</c:v>
                </c:pt>
                <c:pt idx="4">
                  <c:v>-0.01</c:v>
                </c:pt>
                <c:pt idx="5">
                  <c:v>-7.4999999999999997E-3</c:v>
                </c:pt>
                <c:pt idx="6">
                  <c:v>-4.9999999999999992E-3</c:v>
                </c:pt>
                <c:pt idx="7">
                  <c:v>-2.4999999999999992E-3</c:v>
                </c:pt>
                <c:pt idx="8">
                  <c:v>0</c:v>
                </c:pt>
                <c:pt idx="9">
                  <c:v>2.5000000000000001E-3</c:v>
                </c:pt>
                <c:pt idx="10">
                  <c:v>5.0000000000000001E-3</c:v>
                </c:pt>
                <c:pt idx="11">
                  <c:v>7.4999999999999997E-3</c:v>
                </c:pt>
                <c:pt idx="12">
                  <c:v>0.01</c:v>
                </c:pt>
                <c:pt idx="13">
                  <c:v>1.2500000000000001E-2</c:v>
                </c:pt>
                <c:pt idx="14">
                  <c:v>1.5000000000000001E-2</c:v>
                </c:pt>
                <c:pt idx="15">
                  <c:v>1.7500000000000002E-2</c:v>
                </c:pt>
                <c:pt idx="16">
                  <c:v>0.02</c:v>
                </c:pt>
                <c:pt idx="17">
                  <c:v>2.2499999999999999E-2</c:v>
                </c:pt>
                <c:pt idx="18">
                  <c:v>2.4999999999999998E-2</c:v>
                </c:pt>
                <c:pt idx="19">
                  <c:v>2.7499999999999997E-2</c:v>
                </c:pt>
                <c:pt idx="20">
                  <c:v>2.9999999999999995E-2</c:v>
                </c:pt>
                <c:pt idx="21">
                  <c:v>3.2499999999999994E-2</c:v>
                </c:pt>
                <c:pt idx="22">
                  <c:v>3.4999999999999996E-2</c:v>
                </c:pt>
                <c:pt idx="23">
                  <c:v>3.7499999999999999E-2</c:v>
                </c:pt>
                <c:pt idx="24">
                  <c:v>0.04</c:v>
                </c:pt>
                <c:pt idx="25">
                  <c:v>4.2500000000000003E-2</c:v>
                </c:pt>
                <c:pt idx="26">
                  <c:v>4.5000000000000005E-2</c:v>
                </c:pt>
                <c:pt idx="27">
                  <c:v>4.7500000000000007E-2</c:v>
                </c:pt>
                <c:pt idx="28">
                  <c:v>5.000000000000001E-2</c:v>
                </c:pt>
                <c:pt idx="29">
                  <c:v>5.2500000000000012E-2</c:v>
                </c:pt>
                <c:pt idx="30">
                  <c:v>5.5000000000000014E-2</c:v>
                </c:pt>
                <c:pt idx="31">
                  <c:v>5.7500000000000016E-2</c:v>
                </c:pt>
                <c:pt idx="32">
                  <c:v>6.0000000000000019E-2</c:v>
                </c:pt>
                <c:pt idx="33">
                  <c:v>6.2500000000000014E-2</c:v>
                </c:pt>
                <c:pt idx="34">
                  <c:v>6.5000000000000016E-2</c:v>
                </c:pt>
                <c:pt idx="35">
                  <c:v>6.7500000000000018E-2</c:v>
                </c:pt>
                <c:pt idx="36">
                  <c:v>7.0000000000000021E-2</c:v>
                </c:pt>
                <c:pt idx="37">
                  <c:v>7.2500000000000023E-2</c:v>
                </c:pt>
                <c:pt idx="38">
                  <c:v>7.5000000000000025E-2</c:v>
                </c:pt>
                <c:pt idx="39">
                  <c:v>7.7500000000000027E-2</c:v>
                </c:pt>
                <c:pt idx="40">
                  <c:v>8.0000000000000029E-2</c:v>
                </c:pt>
              </c:numCache>
            </c:numRef>
          </c:xVal>
          <c:yVal>
            <c:numRef>
              <c:f>'Application_Part(I)'!$D$5:$D$45</c:f>
              <c:numCache>
                <c:formatCode>General</c:formatCode>
                <c:ptCount val="41"/>
                <c:pt idx="0">
                  <c:v>0.21509289046587313</c:v>
                </c:pt>
                <c:pt idx="1">
                  <c:v>0.18887848121052375</c:v>
                </c:pt>
                <c:pt idx="2">
                  <c:v>0.16247905499299908</c:v>
                </c:pt>
                <c:pt idx="3">
                  <c:v>0.13589331752100497</c:v>
                </c:pt>
                <c:pt idx="4">
                  <c:v>0.10911996765288216</c:v>
                </c:pt>
                <c:pt idx="5">
                  <c:v>8.2157697404876634E-2</c:v>
                </c:pt>
                <c:pt idx="6">
                  <c:v>5.5005191970051666E-2</c:v>
                </c:pt>
                <c:pt idx="7">
                  <c:v>2.766112972736591E-2</c:v>
                </c:pt>
                <c:pt idx="8">
                  <c:v>1.2418226161507525E-4</c:v>
                </c:pt>
                <c:pt idx="9">
                  <c:v>-2.7606985622068481E-2</c:v>
                </c:pt>
                <c:pt idx="10">
                  <c:v>-5.5533715877083716E-2</c:v>
                </c:pt>
                <c:pt idx="11">
                  <c:v>-8.3657357198025542E-2</c:v>
                </c:pt>
                <c:pt idx="12">
                  <c:v>-0.11197926500062583</c:v>
                </c:pt>
                <c:pt idx="13">
                  <c:v>-0.14050080139559973</c:v>
                </c:pt>
                <c:pt idx="14">
                  <c:v>-0.1692233351695859</c:v>
                </c:pt>
                <c:pt idx="15">
                  <c:v>-0.19814824175661208</c:v>
                </c:pt>
                <c:pt idx="16">
                  <c:v>-0.22727690321096045</c:v>
                </c:pt>
                <c:pt idx="17">
                  <c:v>-0.25661070818464071</c:v>
                </c:pt>
                <c:pt idx="18">
                  <c:v>-0.28615105189207463</c:v>
                </c:pt>
                <c:pt idx="19">
                  <c:v>-0.31589933608034138</c:v>
                </c:pt>
                <c:pt idx="20">
                  <c:v>-0.34585696900290386</c:v>
                </c:pt>
                <c:pt idx="21">
                  <c:v>-0.37602536537285774</c:v>
                </c:pt>
                <c:pt idx="22">
                  <c:v>-0.40640594634446436</c:v>
                </c:pt>
                <c:pt idx="23">
                  <c:v>-0.43700013945875038</c:v>
                </c:pt>
                <c:pt idx="24">
                  <c:v>-0.46780937861736677</c:v>
                </c:pt>
                <c:pt idx="25">
                  <c:v>-0.4988351040363761</c:v>
                </c:pt>
                <c:pt idx="26">
                  <c:v>-0.53007876220558081</c:v>
                </c:pt>
                <c:pt idx="27">
                  <c:v>-0.56154180584574109</c:v>
                </c:pt>
                <c:pt idx="28">
                  <c:v>-0.59322569386071966</c:v>
                </c:pt>
                <c:pt idx="29">
                  <c:v>-0.62513189129137625</c:v>
                </c:pt>
                <c:pt idx="30">
                  <c:v>-0.65726186926574093</c:v>
                </c:pt>
                <c:pt idx="31">
                  <c:v>-0.68961710495351736</c:v>
                </c:pt>
                <c:pt idx="32">
                  <c:v>-0.72219908150530121</c:v>
                </c:pt>
                <c:pt idx="33">
                  <c:v>-0.75500928800107137</c:v>
                </c:pt>
                <c:pt idx="34">
                  <c:v>-0.78804921939509687</c:v>
                </c:pt>
                <c:pt idx="35">
                  <c:v>-0.82132037646180323</c:v>
                </c:pt>
                <c:pt idx="36">
                  <c:v>-0.85482426572075565</c:v>
                </c:pt>
                <c:pt idx="37">
                  <c:v>-0.88856239939326254</c:v>
                </c:pt>
                <c:pt idx="38">
                  <c:v>-0.92253629532402537</c:v>
                </c:pt>
                <c:pt idx="39">
                  <c:v>-0.95674747691939532</c:v>
                </c:pt>
                <c:pt idx="40">
                  <c:v>-0.991197473081734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524512"/>
        <c:axId val="474528040"/>
      </c:scatterChart>
      <c:valAx>
        <c:axId val="48213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34664"/>
        <c:crosses val="autoZero"/>
        <c:crossBetween val="midCat"/>
      </c:valAx>
      <c:valAx>
        <c:axId val="4821346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35056"/>
        <c:crosses val="autoZero"/>
        <c:crossBetween val="midCat"/>
      </c:valAx>
      <c:valAx>
        <c:axId val="4745280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24512"/>
        <c:crosses val="max"/>
        <c:crossBetween val="midCat"/>
      </c:valAx>
      <c:valAx>
        <c:axId val="474524512"/>
        <c:scaling>
          <c:orientation val="minMax"/>
        </c:scaling>
        <c:delete val="1"/>
        <c:axPos val="b"/>
        <c:numFmt formatCode="0.0000" sourceLinked="1"/>
        <c:majorTickMark val="out"/>
        <c:minorTickMark val="none"/>
        <c:tickLblPos val="nextTo"/>
        <c:crossAx val="474528040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601980</xdr:colOff>
      <xdr:row>4</xdr:row>
      <xdr:rowOff>45720</xdr:rowOff>
    </xdr:from>
    <xdr:to>
      <xdr:col>13</xdr:col>
      <xdr:colOff>396240</xdr:colOff>
      <xdr:row>21</xdr:row>
      <xdr:rowOff>121920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320040</xdr:colOff>
      <xdr:row>4</xdr:row>
      <xdr:rowOff>53340</xdr:rowOff>
    </xdr:from>
    <xdr:to>
      <xdr:col>12</xdr:col>
      <xdr:colOff>15240</xdr:colOff>
      <xdr:row>19</xdr:row>
      <xdr:rowOff>53340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30480</xdr:rowOff>
    </xdr:from>
    <xdr:to>
      <xdr:col>14</xdr:col>
      <xdr:colOff>304800</xdr:colOff>
      <xdr:row>22</xdr:row>
      <xdr:rowOff>30480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</xdr:colOff>
      <xdr:row>4</xdr:row>
      <xdr:rowOff>121920</xdr:rowOff>
    </xdr:from>
    <xdr:to>
      <xdr:col>11</xdr:col>
      <xdr:colOff>350520</xdr:colOff>
      <xdr:row>19</xdr:row>
      <xdr:rowOff>121920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27"/>
  <sheetViews>
    <sheetView topLeftCell="A13" workbookViewId="0">
      <selection activeCell="B22" sqref="B22"/>
    </sheetView>
  </sheetViews>
  <sheetFormatPr defaultRowHeight="14.4" x14ac:dyDescent="0.3"/>
  <cols>
    <col min="2" max="2" width="16.6640625" customWidth="1"/>
    <col min="3" max="3" width="19.88671875" bestFit="1" customWidth="1"/>
  </cols>
  <sheetData>
    <row r="2" spans="2:3" x14ac:dyDescent="0.3">
      <c r="B2" t="s">
        <v>0</v>
      </c>
      <c r="C2" t="s">
        <v>1</v>
      </c>
    </row>
    <row r="3" spans="2:3" x14ac:dyDescent="0.3">
      <c r="B3">
        <v>0.25</v>
      </c>
      <c r="C3">
        <v>5.0000000000000001E-3</v>
      </c>
    </row>
    <row r="4" spans="2:3" x14ac:dyDescent="0.3">
      <c r="B4">
        <v>0.5</v>
      </c>
      <c r="C4">
        <v>7.0000000000000001E-3</v>
      </c>
    </row>
    <row r="5" spans="2:3" x14ac:dyDescent="0.3">
      <c r="B5">
        <v>1</v>
      </c>
      <c r="C5">
        <v>8.5000000000000006E-3</v>
      </c>
    </row>
    <row r="6" spans="2:3" x14ac:dyDescent="0.3">
      <c r="B6">
        <v>1.5</v>
      </c>
      <c r="C6">
        <v>0.01</v>
      </c>
    </row>
    <row r="7" spans="2:3" x14ac:dyDescent="0.3">
      <c r="B7">
        <v>2</v>
      </c>
      <c r="C7">
        <v>1.0999999999999999E-2</v>
      </c>
    </row>
    <row r="8" spans="2:3" x14ac:dyDescent="0.3">
      <c r="B8">
        <v>3</v>
      </c>
      <c r="C8">
        <v>1.2500000000000001E-2</v>
      </c>
    </row>
    <row r="9" spans="2:3" x14ac:dyDescent="0.3">
      <c r="B9">
        <v>5</v>
      </c>
      <c r="C9">
        <v>1.2999999999999999E-2</v>
      </c>
    </row>
    <row r="10" spans="2:3" x14ac:dyDescent="0.3">
      <c r="B10">
        <v>7</v>
      </c>
      <c r="C10">
        <v>1.2500000000000001E-2</v>
      </c>
    </row>
    <row r="11" spans="2:3" x14ac:dyDescent="0.3">
      <c r="B11">
        <v>10</v>
      </c>
      <c r="C11">
        <v>1.8499999999999999E-2</v>
      </c>
    </row>
    <row r="12" spans="2:3" x14ac:dyDescent="0.3">
      <c r="B12">
        <v>20</v>
      </c>
      <c r="C12">
        <v>2.2499999999999999E-2</v>
      </c>
    </row>
    <row r="13" spans="2:3" x14ac:dyDescent="0.3">
      <c r="B13">
        <v>30</v>
      </c>
      <c r="C13">
        <v>2.5000000000000001E-2</v>
      </c>
    </row>
    <row r="15" spans="2:3" x14ac:dyDescent="0.3">
      <c r="B15" s="2" t="s">
        <v>2</v>
      </c>
    </row>
    <row r="16" spans="2:3" x14ac:dyDescent="0.3">
      <c r="B16" t="s">
        <v>3</v>
      </c>
      <c r="C16">
        <v>0.04</v>
      </c>
    </row>
    <row r="17" spans="2:4" x14ac:dyDescent="0.3">
      <c r="B17" t="s">
        <v>4</v>
      </c>
      <c r="C17">
        <v>2</v>
      </c>
    </row>
    <row r="18" spans="2:4" x14ac:dyDescent="0.3">
      <c r="B18" t="s">
        <v>5</v>
      </c>
      <c r="C18">
        <v>100</v>
      </c>
    </row>
    <row r="19" spans="2:4" x14ac:dyDescent="0.3">
      <c r="B19" t="s">
        <v>6</v>
      </c>
      <c r="C19">
        <v>10</v>
      </c>
    </row>
    <row r="21" spans="2:4" x14ac:dyDescent="0.3">
      <c r="B21" s="1" t="s">
        <v>7</v>
      </c>
      <c r="C21" s="1" t="s">
        <v>8</v>
      </c>
      <c r="D21" s="1" t="s">
        <v>9</v>
      </c>
    </row>
    <row r="22" spans="2:4" x14ac:dyDescent="0.3">
      <c r="B22" s="1">
        <f t="array" aca="1" ref="B22:D22" ca="1">GetRiskLessFixedBondAnalytics(zero_rates, C19,C18,C16,C17)</f>
        <v>120.26957741516431</v>
      </c>
      <c r="C22" s="1">
        <f ca="1"/>
        <v>8.4880156375701379</v>
      </c>
      <c r="D22" s="1">
        <f ca="1"/>
        <v>79.70348951143508</v>
      </c>
    </row>
    <row r="25" spans="2:4" x14ac:dyDescent="0.3">
      <c r="B25" s="2" t="s">
        <v>10</v>
      </c>
    </row>
    <row r="26" spans="2:4" x14ac:dyDescent="0.3">
      <c r="B26" t="s">
        <v>12</v>
      </c>
      <c r="C26">
        <v>102.5</v>
      </c>
    </row>
    <row r="27" spans="2:4" x14ac:dyDescent="0.3">
      <c r="B27" t="s">
        <v>11</v>
      </c>
      <c r="C27" s="1">
        <f ca="1">GetConstantZSpreadForFixedBond(zero_rates, C19,C18,C16,C17,C26)</f>
        <v>1.9002766376351996E-2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D45"/>
  <sheetViews>
    <sheetView workbookViewId="0">
      <selection activeCell="C5" sqref="C5"/>
    </sheetView>
  </sheetViews>
  <sheetFormatPr defaultRowHeight="14.4" x14ac:dyDescent="0.3"/>
  <cols>
    <col min="2" max="2" width="13.33203125" bestFit="1" customWidth="1"/>
  </cols>
  <sheetData>
    <row r="4" spans="2:4" x14ac:dyDescent="0.3">
      <c r="B4" t="s">
        <v>13</v>
      </c>
      <c r="C4" t="s">
        <v>14</v>
      </c>
      <c r="D4" t="s">
        <v>15</v>
      </c>
    </row>
    <row r="5" spans="2:4" x14ac:dyDescent="0.3">
      <c r="B5" s="3">
        <f ca="1">-200*0.0001</f>
        <v>-0.02</v>
      </c>
      <c r="C5">
        <f t="array" aca="1" ref="C5:D5" ca="1">ShockZeroRateAnalytics(zero_rates, 'Application_Part(A)&amp;(B)'!$C$19,'Application_Part(A)&amp;(B)'!$C$18,'Application_Part(A)&amp;(B)'!$C$16,'Application_Part(A)&amp;(B)'!$C$17,'Application_Part(A)&amp;(B)'!$C$27,'Application_Part(C)'!B5)</f>
        <v>121.29238525974135</v>
      </c>
      <c r="D5">
        <f ca="1"/>
        <v>8.4956341638383268</v>
      </c>
    </row>
    <row r="6" spans="2:4" x14ac:dyDescent="0.3">
      <c r="B6" s="3">
        <f ca="1">B5+25*0.0001</f>
        <v>-1.7500000000000002E-2</v>
      </c>
      <c r="C6">
        <f t="array" aca="1" ref="C6:D6" ca="1">ShockZeroRateAnalytics(zero_rates, 'Application_Part(A)&amp;(B)'!$C$19,'Application_Part(A)&amp;(B)'!$C$18,'Application_Part(A)&amp;(B)'!$C$16,'Application_Part(A)&amp;(B)'!$C$17,'Application_Part(A)&amp;(B)'!$C$27,'Application_Part(C)'!B6)</f>
        <v>118.74624994290045</v>
      </c>
      <c r="D6">
        <f ca="1"/>
        <v>8.4764693167568659</v>
      </c>
    </row>
    <row r="7" spans="2:4" x14ac:dyDescent="0.3">
      <c r="B7" s="3">
        <f t="shared" ref="B7:B45" ca="1" si="0">B6+25*0.0001</f>
        <v>-1.5000000000000001E-2</v>
      </c>
      <c r="C7">
        <f t="array" aca="1" ref="C7:D7" ca="1">ShockZeroRateAnalytics(zero_rates, 'Application_Part(A)&amp;(B)'!$C$19,'Application_Part(A)&amp;(B)'!$C$18,'Application_Part(A)&amp;(B)'!$C$16,'Application_Part(A)&amp;(B)'!$C$17,'Application_Part(A)&amp;(B)'!$C$27,'Application_Part(C)'!B7)</f>
        <v>116.25916429069805</v>
      </c>
      <c r="D7">
        <f ca="1"/>
        <v>8.4570852702979185</v>
      </c>
    </row>
    <row r="8" spans="2:4" x14ac:dyDescent="0.3">
      <c r="B8" s="3">
        <f t="shared" ca="1" si="0"/>
        <v>-1.2500000000000001E-2</v>
      </c>
      <c r="C8">
        <f t="array" aca="1" ref="C8:D8" ca="1">ShockZeroRateAnalytics(zero_rates, 'Application_Part(A)&amp;(B)'!$C$19,'Application_Part(A)&amp;(B)'!$C$18,'Application_Part(A)&amp;(B)'!$C$16,'Application_Part(A)&amp;(B)'!$C$17,'Application_Part(A)&amp;(B)'!$C$27,'Application_Part(C)'!B8)</f>
        <v>113.82971689452651</v>
      </c>
      <c r="D8">
        <f ca="1"/>
        <v>8.4374808962574939</v>
      </c>
    </row>
    <row r="9" spans="2:4" x14ac:dyDescent="0.3">
      <c r="B9" s="3">
        <f t="shared" ca="1" si="0"/>
        <v>-0.01</v>
      </c>
      <c r="C9">
        <f t="array" aca="1" ref="C9:D9" ca="1">ShockZeroRateAnalytics(zero_rates, 'Application_Part(A)&amp;(B)'!$C$19,'Application_Part(A)&amp;(B)'!$C$18,'Application_Part(A)&amp;(B)'!$C$16,'Application_Part(A)&amp;(B)'!$C$17,'Application_Part(A)&amp;(B)'!$C$27,'Application_Part(C)'!B9)</f>
        <v>111.45653051144959</v>
      </c>
      <c r="D9">
        <f ca="1"/>
        <v>8.4176551073184562</v>
      </c>
    </row>
    <row r="10" spans="2:4" x14ac:dyDescent="0.3">
      <c r="B10" s="3">
        <f t="shared" ca="1" si="0"/>
        <v>-7.4999999999999997E-3</v>
      </c>
      <c r="C10">
        <f t="array" aca="1" ref="C10:D10" ca="1">ShockZeroRateAnalytics(zero_rates, 'Application_Part(A)&amp;(B)'!$C$19,'Application_Part(A)&amp;(B)'!$C$18,'Application_Part(A)&amp;(B)'!$C$16,'Application_Part(A)&amp;(B)'!$C$17,'Application_Part(A)&amp;(B)'!$C$27,'Application_Part(C)'!B10)</f>
        <v>109.1382612317756</v>
      </c>
      <c r="D10">
        <f ca="1"/>
        <v>8.3976068585997705</v>
      </c>
    </row>
    <row r="11" spans="2:4" x14ac:dyDescent="0.3">
      <c r="B11" s="3">
        <f t="shared" ca="1" si="0"/>
        <v>-4.9999999999999992E-3</v>
      </c>
      <c r="C11">
        <f t="array" aca="1" ref="C11:D11" ca="1">ShockZeroRateAnalytics(zero_rates, 'Application_Part(A)&amp;(B)'!$C$19,'Application_Part(A)&amp;(B)'!$C$18,'Application_Part(A)&amp;(B)'!$C$16,'Application_Part(A)&amp;(B)'!$C$17,'Application_Part(A)&amp;(B)'!$C$27,'Application_Part(C)'!B11)</f>
        <v>106.87359766698843</v>
      </c>
      <c r="D11">
        <f ca="1"/>
        <v>8.3773351492178634</v>
      </c>
    </row>
    <row r="12" spans="2:4" x14ac:dyDescent="0.3">
      <c r="B12" s="3">
        <f t="shared" ca="1" si="0"/>
        <v>-2.4999999999999992E-3</v>
      </c>
      <c r="C12">
        <f t="array" aca="1" ref="C12:D12" ca="1">ShockZeroRateAnalytics(zero_rates, 'Application_Part(A)&amp;(B)'!$C$19,'Application_Part(A)&amp;(B)'!$C$18,'Application_Part(A)&amp;(B)'!$C$16,'Application_Part(A)&amp;(B)'!$C$17,'Application_Part(A)&amp;(B)'!$C$27,'Application_Part(C)'!B12)</f>
        <v>104.6612601575375</v>
      </c>
      <c r="D12">
        <f ca="1"/>
        <v>8.3568390238588961</v>
      </c>
    </row>
    <row r="13" spans="2:4" x14ac:dyDescent="0.3">
      <c r="B13" s="3">
        <f t="shared" ca="1" si="0"/>
        <v>0</v>
      </c>
      <c r="C13">
        <f t="array" aca="1" ref="C13:D13" ca="1">ShockZeroRateAnalytics(zero_rates, 'Application_Part(A)&amp;(B)'!$C$19,'Application_Part(A)&amp;(B)'!$C$18,'Application_Part(A)&amp;(B)'!$C$16,'Application_Part(A)&amp;(B)'!$C$17,'Application_Part(A)&amp;(B)'!$C$27,'Application_Part(C)'!B13)</f>
        <v>102.50000000000003</v>
      </c>
      <c r="D13">
        <f ca="1"/>
        <v>8.336117574360463</v>
      </c>
    </row>
    <row r="14" spans="2:4" x14ac:dyDescent="0.3">
      <c r="B14" s="3">
        <f t="shared" ca="1" si="0"/>
        <v>2.5000000000000001E-3</v>
      </c>
      <c r="C14">
        <f t="array" aca="1" ref="C14:D14" ca="1">ShockZeroRateAnalytics(zero_rates, 'Application_Part(A)&amp;(B)'!$C$19,'Application_Part(A)&amp;(B)'!$C$18,'Application_Part(A)&amp;(B)'!$C$16,'Application_Part(A)&amp;(B)'!$C$17,'Application_Part(A)&amp;(B)'!$C$27,'Application_Part(C)'!B14)</f>
        <v>100.38859869314085</v>
      </c>
      <c r="D14">
        <f ca="1"/>
        <v>8.315169941301404</v>
      </c>
    </row>
    <row r="15" spans="2:4" x14ac:dyDescent="0.3">
      <c r="B15" s="3">
        <f t="shared" ca="1" si="0"/>
        <v>5.0000000000000001E-3</v>
      </c>
      <c r="C15">
        <f t="array" aca="1" ref="C15:D15" ca="1">ShockZeroRateAnalytics(zero_rates, 'Application_Part(A)&amp;(B)'!$C$19,'Application_Part(A)&amp;(B)'!$C$18,'Application_Part(A)&amp;(B)'!$C$16,'Application_Part(A)&amp;(B)'!$C$17,'Application_Part(A)&amp;(B)'!$C$27,'Application_Part(C)'!B15)</f>
        <v>98.325867202406073</v>
      </c>
      <c r="D15">
        <f ca="1"/>
        <v>8.2939953155981723</v>
      </c>
    </row>
    <row r="16" spans="2:4" x14ac:dyDescent="0.3">
      <c r="B16" s="3">
        <f t="shared" ca="1" si="0"/>
        <v>7.4999999999999997E-3</v>
      </c>
      <c r="C16">
        <f t="array" aca="1" ref="C16:D16" ca="1">ShockZeroRateAnalytics(zero_rates, 'Application_Part(A)&amp;(B)'!$C$19,'Application_Part(A)&amp;(B)'!$C$18,'Application_Part(A)&amp;(B)'!$C$16,'Application_Part(A)&amp;(B)'!$C$17,'Application_Part(A)&amp;(B)'!$C$27,'Application_Part(C)'!B16)</f>
        <v>96.310645242399133</v>
      </c>
      <c r="D16">
        <f ca="1"/>
        <v>8.2725929401062164</v>
      </c>
    </row>
    <row r="17" spans="2:4" x14ac:dyDescent="0.3">
      <c r="B17" s="3">
        <f t="shared" ca="1" si="0"/>
        <v>0.01</v>
      </c>
      <c r="C17">
        <f t="array" aca="1" ref="C17:D17" ca="1">ShockZeroRateAnalytics(zero_rates, 'Application_Part(A)&amp;(B)'!$C$19,'Application_Part(A)&amp;(B)'!$C$18,'Application_Part(A)&amp;(B)'!$C$16,'Application_Part(A)&amp;(B)'!$C$17,'Application_Part(A)&amp;(B)'!$C$27,'Application_Part(C)'!B17)</f>
        <v>94.341800576898649</v>
      </c>
      <c r="D17">
        <f ca="1"/>
        <v>8.2509621112247729</v>
      </c>
    </row>
    <row r="18" spans="2:4" x14ac:dyDescent="0.3">
      <c r="B18" s="3">
        <f t="shared" ca="1" si="0"/>
        <v>1.2500000000000001E-2</v>
      </c>
      <c r="C18">
        <f t="array" aca="1" ref="C18:D18" ca="1">ShockZeroRateAnalytics(zero_rates, 'Application_Part(A)&amp;(B)'!$C$19,'Application_Part(A)&amp;(B)'!$C$18,'Application_Part(A)&amp;(B)'!$C$16,'Application_Part(A)&amp;(B)'!$C$17,'Application_Part(A)&amp;(B)'!$C$27,'Application_Part(C)'!B18)</f>
        <v>92.418228335987592</v>
      </c>
      <c r="D18">
        <f ca="1"/>
        <v>8.2291021805033306</v>
      </c>
    </row>
    <row r="19" spans="2:4" x14ac:dyDescent="0.3">
      <c r="B19" s="3">
        <f t="shared" ca="1" si="0"/>
        <v>1.5000000000000001E-2</v>
      </c>
      <c r="C19">
        <f t="array" aca="1" ref="C19:D19" ca="1">ShockZeroRateAnalytics(zero_rates, 'Application_Part(A)&amp;(B)'!$C$19,'Application_Part(A)&amp;(B)'!$C$18,'Application_Part(A)&amp;(B)'!$C$16,'Application_Part(A)&amp;(B)'!$C$17,'Application_Part(A)&amp;(B)'!$C$27,'Application_Part(C)'!B19)</f>
        <v>90.538850349875105</v>
      </c>
      <c r="D19">
        <f ca="1"/>
        <v>8.20701255624809</v>
      </c>
    </row>
    <row r="20" spans="2:4" x14ac:dyDescent="0.3">
      <c r="B20" s="3">
        <f t="shared" ca="1" si="0"/>
        <v>1.7500000000000002E-2</v>
      </c>
      <c r="C20">
        <f t="array" aca="1" ref="C20:D20" ca="1">ShockZeroRateAnalytics(zero_rates, 'Application_Part(A)&amp;(B)'!$C$19,'Application_Part(A)&amp;(B)'!$C$18,'Application_Part(A)&amp;(B)'!$C$16,'Application_Part(A)&amp;(B)'!$C$17,'Application_Part(A)&amp;(B)'!$C$27,'Application_Part(C)'!B20)</f>
        <v>88.702614499001257</v>
      </c>
      <c r="D20">
        <f ca="1"/>
        <v>8.1846927051265137</v>
      </c>
    </row>
    <row r="21" spans="2:4" x14ac:dyDescent="0.3">
      <c r="B21" s="3">
        <f t="shared" ca="1" si="0"/>
        <v>0.02</v>
      </c>
      <c r="C21">
        <f t="array" aca="1" ref="C21:D21" ca="1">ShockZeroRateAnalytics(zero_rates, 'Application_Part(A)&amp;(B)'!$C$19,'Application_Part(A)&amp;(B)'!$C$18,'Application_Part(A)&amp;(B)'!$C$16,'Application_Part(A)&amp;(B)'!$C$17,'Application_Part(A)&amp;(B)'!$C$27,'Application_Part(C)'!B21)</f>
        <v>86.908494080026273</v>
      </c>
      <c r="D21">
        <f ca="1"/>
        <v>8.1621421537681726</v>
      </c>
    </row>
    <row r="22" spans="2:4" x14ac:dyDescent="0.3">
      <c r="B22" s="3">
        <f t="shared" ca="1" si="0"/>
        <v>2.2499999999999999E-2</v>
      </c>
      <c r="C22">
        <f t="array" aca="1" ref="C22:D22" ca="1">ShockZeroRateAnalytics(zero_rates, 'Application_Part(A)&amp;(B)'!$C$19,'Application_Part(A)&amp;(B)'!$C$18,'Application_Part(A)&amp;(B)'!$C$16,'Application_Part(A)&amp;(B)'!$C$17,'Application_Part(A)&amp;(B)'!$C$27,'Application_Part(C)'!B22)</f>
        <v>85.155487187314492</v>
      </c>
      <c r="D22">
        <f ca="1"/>
        <v>8.1393604903598664</v>
      </c>
    </row>
    <row r="23" spans="2:4" x14ac:dyDescent="0.3">
      <c r="B23" s="3">
        <f t="shared" ca="1" si="0"/>
        <v>2.4999999999999998E-2</v>
      </c>
      <c r="C23">
        <f t="array" aca="1" ref="C23:D23" ca="1">ShockZeroRateAnalytics(zero_rates, 'Application_Part(A)&amp;(B)'!$C$19,'Application_Part(A)&amp;(B)'!$C$18,'Application_Part(A)&amp;(B)'!$C$16,'Application_Part(A)&amp;(B)'!$C$17,'Application_Part(A)&amp;(B)'!$C$27,'Application_Part(C)'!B23)</f>
        <v>83.442616109533844</v>
      </c>
      <c r="D23">
        <f ca="1"/>
        <v>8.1163473662330929</v>
      </c>
    </row>
    <row r="24" spans="2:4" x14ac:dyDescent="0.3">
      <c r="B24" s="3">
        <f t="shared" ca="1" si="0"/>
        <v>2.7499999999999997E-2</v>
      </c>
      <c r="C24">
        <f t="array" aca="1" ref="C24:D24" ca="1">ShockZeroRateAnalytics(zero_rates, 'Application_Part(A)&amp;(B)'!$C$19,'Application_Part(A)&amp;(B)'!$C$18,'Application_Part(A)&amp;(B)'!$C$16,'Application_Part(A)&amp;(B)'!$C$17,'Application_Part(A)&amp;(B)'!$C$27,'Application_Part(C)'!B24)</f>
        <v>81.768926741000101</v>
      </c>
      <c r="D24">
        <f ca="1"/>
        <v>8.0931024974417323</v>
      </c>
    </row>
    <row r="25" spans="2:4" x14ac:dyDescent="0.3">
      <c r="B25" s="3">
        <f t="shared" ca="1" si="0"/>
        <v>2.9999999999999995E-2</v>
      </c>
      <c r="C25">
        <f t="array" aca="1" ref="C25:D25" ca="1">ShockZeroRateAnalytics(zero_rates, 'Application_Part(A)&amp;(B)'!$C$19,'Application_Part(A)&amp;(B)'!$C$18,'Application_Part(A)&amp;(B)'!$C$16,'Application_Part(A)&amp;(B)'!$C$17,'Application_Part(A)&amp;(B)'!$C$27,'Application_Part(C)'!B25)</f>
        <v>80.133488007404935</v>
      </c>
      <c r="D25">
        <f ca="1"/>
        <v>8.0696256663278927</v>
      </c>
    </row>
    <row r="26" spans="2:4" x14ac:dyDescent="0.3">
      <c r="B26" s="3">
        <f t="shared" ca="1" si="0"/>
        <v>3.2499999999999994E-2</v>
      </c>
      <c r="C26">
        <f t="array" aca="1" ref="C26:D26" ca="1">ShockZeroRateAnalytics(zero_rates, 'Application_Part(A)&amp;(B)'!$C$19,'Application_Part(A)&amp;(B)'!$C$18,'Application_Part(A)&amp;(B)'!$C$16,'Application_Part(A)&amp;(B)'!$C$17,'Application_Part(A)&amp;(B)'!$C$27,'Application_Part(C)'!B26)</f>
        <v>78.535391305575104</v>
      </c>
      <c r="D26">
        <f ca="1"/>
        <v>8.0459167230736952</v>
      </c>
    </row>
    <row r="27" spans="2:4" x14ac:dyDescent="0.3">
      <c r="B27" s="3">
        <f t="shared" ca="1" si="0"/>
        <v>3.4999999999999996E-2</v>
      </c>
      <c r="C27">
        <f t="array" aca="1" ref="C27:D27" ca="1">ShockZeroRateAnalytics(zero_rates, 'Application_Part(A)&amp;(B)'!$C$19,'Application_Part(A)&amp;(B)'!$C$18,'Application_Part(A)&amp;(B)'!$C$16,'Application_Part(A)&amp;(B)'!$C$17,'Application_Part(A)&amp;(B)'!$C$27,'Application_Part(C)'!B27)</f>
        <v>76.973749956919292</v>
      </c>
      <c r="D27">
        <f ca="1"/>
        <v>8.0219755872368133</v>
      </c>
    </row>
    <row r="28" spans="2:4" x14ac:dyDescent="0.3">
      <c r="B28" s="3">
        <f t="shared" ca="1" si="0"/>
        <v>3.7499999999999999E-2</v>
      </c>
      <c r="C28">
        <f t="array" aca="1" ref="C28:D28" ca="1">ShockZeroRateAnalytics(zero_rates, 'Application_Part(A)&amp;(B)'!$C$19,'Application_Part(A)&amp;(B)'!$C$18,'Application_Part(A)&amp;(B)'!$C$16,'Application_Part(A)&amp;(B)'!$C$17,'Application_Part(A)&amp;(B)'!$C$27,'Application_Part(C)'!B28)</f>
        <v>75.447698674227112</v>
      </c>
      <c r="D28">
        <f ca="1"/>
        <v>7.9978022492674263</v>
      </c>
    </row>
    <row r="29" spans="2:4" x14ac:dyDescent="0.3">
      <c r="B29" s="3">
        <f t="shared" ca="1" si="0"/>
        <v>0.04</v>
      </c>
      <c r="C29">
        <f t="array" aca="1" ref="C29:D29" ca="1">ShockZeroRateAnalytics(zero_rates, 'Application_Part(A)&amp;(B)'!$C$19,'Application_Part(A)&amp;(B)'!$C$18,'Application_Part(A)&amp;(B)'!$C$16,'Application_Part(A)&amp;(B)'!$C$17,'Application_Part(A)&amp;(B)'!$C$27,'Application_Part(C)'!B29)</f>
        <v>73.956393041493214</v>
      </c>
      <c r="D29">
        <f ca="1"/>
        <v>7.9733967720043566</v>
      </c>
    </row>
    <row r="30" spans="2:4" x14ac:dyDescent="0.3">
      <c r="B30" s="3">
        <f t="shared" ca="1" si="0"/>
        <v>4.2500000000000003E-2</v>
      </c>
      <c r="C30">
        <f t="array" aca="1" ref="C30:D30" ca="1">ShockZeroRateAnalytics(zero_rates, 'Application_Part(A)&amp;(B)'!$C$19,'Application_Part(A)&amp;(B)'!$C$18,'Application_Part(A)&amp;(B)'!$C$16,'Application_Part(A)&amp;(B)'!$C$17,'Application_Part(A)&amp;(B)'!$C$27,'Application_Part(C)'!B30)</f>
        <v>72.49900900644748</v>
      </c>
      <c r="D30">
        <f ca="1"/>
        <v>7.9487592921479271</v>
      </c>
    </row>
    <row r="31" spans="2:4" x14ac:dyDescent="0.3">
      <c r="B31" s="3">
        <f t="shared" ca="1" si="0"/>
        <v>4.5000000000000005E-2</v>
      </c>
      <c r="C31">
        <f t="array" aca="1" ref="C31:D31" ca="1">ShockZeroRateAnalytics(zero_rates, 'Application_Part(A)&amp;(B)'!$C$19,'Application_Part(A)&amp;(B)'!$C$18,'Application_Part(A)&amp;(B)'!$C$16,'Application_Part(A)&amp;(B)'!$C$17,'Application_Part(A)&amp;(B)'!$C$27,'Application_Part(C)'!B31)</f>
        <v>71.074742385479993</v>
      </c>
      <c r="D31">
        <f ca="1"/>
        <v>7.923890021707189</v>
      </c>
    </row>
    <row r="32" spans="2:4" x14ac:dyDescent="0.3">
      <c r="B32" s="3">
        <f t="shared" ca="1" si="0"/>
        <v>4.7500000000000007E-2</v>
      </c>
      <c r="C32">
        <f t="array" aca="1" ref="C32:D32" ca="1">ShockZeroRateAnalytics(zero_rates, 'Application_Part(A)&amp;(B)'!$C$19,'Application_Part(A)&amp;(B)'!$C$18,'Application_Part(A)&amp;(B)'!$C$16,'Application_Part(A)&amp;(B)'!$C$17,'Application_Part(A)&amp;(B)'!$C$27,'Application_Part(C)'!B32)</f>
        <v>69.682808380657377</v>
      </c>
      <c r="D32">
        <f ca="1"/>
        <v>7.8987892494190293</v>
      </c>
    </row>
    <row r="33" spans="2:4" x14ac:dyDescent="0.3">
      <c r="B33" s="3">
        <f t="shared" ca="1" si="0"/>
        <v>5.000000000000001E-2</v>
      </c>
      <c r="C33">
        <f t="array" aca="1" ref="C33:D33" ca="1">ShockZeroRateAnalytics(zero_rates, 'Application_Part(A)&amp;(B)'!$C$19,'Application_Part(A)&amp;(B)'!$C$18,'Application_Part(A)&amp;(B)'!$C$16,'Application_Part(A)&amp;(B)'!$C$17,'Application_Part(A)&amp;(B)'!$C$27,'Application_Part(C)'!B33)</f>
        <v>68.322441108534122</v>
      </c>
      <c r="D33">
        <f ca="1"/>
        <v>7.8734573421367156</v>
      </c>
    </row>
    <row r="34" spans="2:4" x14ac:dyDescent="0.3">
      <c r="B34" s="3">
        <f t="shared" ca="1" si="0"/>
        <v>5.2500000000000012E-2</v>
      </c>
      <c r="C34">
        <f t="array" aca="1" ref="C34:D34" ca="1">ShockZeroRateAnalytics(zero_rates, 'Application_Part(A)&amp;(B)'!$C$19,'Application_Part(A)&amp;(B)'!$C$18,'Application_Part(A)&amp;(B)'!$C$16,'Application_Part(A)&amp;(B)'!$C$17,'Application_Part(A)&amp;(B)'!$C$27,'Application_Part(C)'!B34)</f>
        <v>66.992893140470144</v>
      </c>
      <c r="D34">
        <f ca="1"/>
        <v>7.8478947461853146</v>
      </c>
    </row>
    <row r="35" spans="2:4" x14ac:dyDescent="0.3">
      <c r="B35" s="3">
        <f t="shared" ca="1" si="0"/>
        <v>5.5000000000000014E-2</v>
      </c>
      <c r="C35">
        <f t="array" aca="1" ref="C35:D35" ca="1">ShockZeroRateAnalytics(zero_rates, 'Application_Part(A)&amp;(B)'!$C$19,'Application_Part(A)&amp;(B)'!$C$18,'Application_Part(A)&amp;(B)'!$C$16,'Application_Part(A)&amp;(B)'!$C$17,'Application_Part(A)&amp;(B)'!$C$27,'Application_Part(C)'!B35)</f>
        <v>65.693435054172937</v>
      </c>
      <c r="D35">
        <f ca="1"/>
        <v>7.82210198868147</v>
      </c>
    </row>
    <row r="36" spans="2:4" x14ac:dyDescent="0.3">
      <c r="B36" s="3">
        <f t="shared" ca="1" si="0"/>
        <v>5.7500000000000016E-2</v>
      </c>
      <c r="C36">
        <f t="array" aca="1" ref="C36:D36" ca="1">ShockZeroRateAnalytics(zero_rates, 'Application_Part(A)&amp;(B)'!$C$19,'Application_Part(A)&amp;(B)'!$C$18,'Application_Part(A)&amp;(B)'!$C$16,'Application_Part(A)&amp;(B)'!$C$17,'Application_Part(A)&amp;(B)'!$C$27,'Application_Part(C)'!B36)</f>
        <v>64.423354996188976</v>
      </c>
      <c r="D36">
        <f ca="1"/>
        <v>7.7960796788149818</v>
      </c>
    </row>
    <row r="37" spans="2:4" x14ac:dyDescent="0.3">
      <c r="B37" s="3">
        <f t="shared" ca="1" si="0"/>
        <v>6.0000000000000019E-2</v>
      </c>
      <c r="C37">
        <f t="array" aca="1" ref="C37:D37" ca="1">ShockZeroRateAnalytics(zero_rates, 'Application_Part(A)&amp;(B)'!$C$19,'Application_Part(A)&amp;(B)'!$C$18,'Application_Part(A)&amp;(B)'!$C$16,'Application_Part(A)&amp;(B)'!$C$17,'Application_Part(A)&amp;(B)'!$C$27,'Application_Part(C)'!B37)</f>
        <v>63.181958255077014</v>
      </c>
      <c r="D37">
        <f ca="1"/>
        <v>7.7698285090895478</v>
      </c>
    </row>
    <row r="38" spans="2:4" x14ac:dyDescent="0.3">
      <c r="B38" s="3">
        <f t="shared" ca="1" si="0"/>
        <v>6.2500000000000014E-2</v>
      </c>
      <c r="C38">
        <f t="array" aca="1" ref="C38:D38" ca="1">ShockZeroRateAnalytics(zero_rates, 'Application_Part(A)&amp;(B)'!$C$19,'Application_Part(A)&amp;(B)'!$C$18,'Application_Part(A)&amp;(B)'!$C$16,'Application_Part(A)&amp;(B)'!$C$17,'Application_Part(A)&amp;(B)'!$C$27,'Application_Part(C)'!B38)</f>
        <v>61.968566845000794</v>
      </c>
      <c r="D38">
        <f ca="1"/>
        <v>7.7433492565201627</v>
      </c>
    </row>
    <row r="39" spans="2:4" x14ac:dyDescent="0.3">
      <c r="B39" s="3">
        <f t="shared" ca="1" si="0"/>
        <v>6.5000000000000016E-2</v>
      </c>
      <c r="C39">
        <f t="array" aca="1" ref="C39:D39" ca="1">ShockZeroRateAnalytics(zero_rates, 'Application_Part(A)&amp;(B)'!$C$19,'Application_Part(A)&amp;(B)'!$C$18,'Application_Part(A)&amp;(B)'!$C$16,'Application_Part(A)&amp;(B)'!$C$17,'Application_Part(A)&amp;(B)'!$C$27,'Application_Part(C)'!B39)</f>
        <v>60.782519099486869</v>
      </c>
      <c r="D39">
        <f ca="1"/>
        <v>7.7166427837844598</v>
      </c>
    </row>
    <row r="40" spans="2:4" x14ac:dyDescent="0.3">
      <c r="B40" s="3">
        <f t="shared" ca="1" si="0"/>
        <v>6.7500000000000018E-2</v>
      </c>
      <c r="C40">
        <f t="array" aca="1" ref="C40:D40" ca="1">ShockZeroRateAnalytics(zero_rates, 'Application_Part(A)&amp;(B)'!$C$19,'Application_Part(A)&amp;(B)'!$C$18,'Application_Part(A)&amp;(B)'!$C$16,'Application_Part(A)&amp;(B)'!$C$17,'Application_Part(A)&amp;(B)'!$C$27,'Application_Part(C)'!B40)</f>
        <v>59.623169275098121</v>
      </c>
      <c r="D40">
        <f ca="1"/>
        <v>7.6897100403254699</v>
      </c>
    </row>
    <row r="41" spans="2:4" x14ac:dyDescent="0.3">
      <c r="B41" s="3">
        <f t="shared" ca="1" si="0"/>
        <v>7.0000000000000021E-2</v>
      </c>
      <c r="C41">
        <f t="array" aca="1" ref="C41:D41" ca="1">ShockZeroRateAnalytics(zero_rates, 'Application_Part(A)&amp;(B)'!$C$19,'Application_Part(A)&amp;(B)'!$C$18,'Application_Part(A)&amp;(B)'!$C$16,'Application_Part(A)&amp;(B)'!$C$17,'Application_Part(A)&amp;(B)'!$C$27,'Application_Part(C)'!B41)</f>
        <v>58.48988716478047</v>
      </c>
      <c r="D41">
        <f ca="1"/>
        <v>7.6625520634031625</v>
      </c>
    </row>
    <row r="42" spans="2:4" x14ac:dyDescent="0.3">
      <c r="B42" s="3">
        <f t="shared" ca="1" si="0"/>
        <v>7.2500000000000023E-2</v>
      </c>
      <c r="C42">
        <f t="array" aca="1" ref="C42:D42" ca="1">ShockZeroRateAnalytics(zero_rates, 'Application_Part(A)&amp;(B)'!$C$19,'Application_Part(A)&amp;(B)'!$C$18,'Application_Part(A)&amp;(B)'!$C$16,'Application_Part(A)&amp;(B)'!$C$17,'Application_Part(A)&amp;(B)'!$C$27,'Application_Part(C)'!B42)</f>
        <v>57.382057720645889</v>
      </c>
      <c r="D42">
        <f ca="1"/>
        <v>7.6351699790921241</v>
      </c>
    </row>
    <row r="43" spans="2:4" x14ac:dyDescent="0.3">
      <c r="B43" s="3">
        <f t="shared" ca="1" si="0"/>
        <v>7.5000000000000025E-2</v>
      </c>
      <c r="C43">
        <f t="array" aca="1" ref="C43:D43" ca="1">ShockZeroRateAnalytics(zero_rates, 'Application_Part(A)&amp;(B)'!$C$19,'Application_Part(A)&amp;(B)'!$C$18,'Application_Part(A)&amp;(B)'!$C$16,'Application_Part(A)&amp;(B)'!$C$17,'Application_Part(A)&amp;(B)'!$C$27,'Application_Part(C)'!B43)</f>
        <v>56.299080685960632</v>
      </c>
      <c r="D43">
        <f ca="1"/>
        <v>7.6075650032228825</v>
      </c>
    </row>
    <row r="44" spans="2:4" x14ac:dyDescent="0.3">
      <c r="B44" s="3">
        <f t="shared" ca="1" si="0"/>
        <v>7.7500000000000027E-2</v>
      </c>
      <c r="C44">
        <f t="array" aca="1" ref="C44:D44" ca="1">ShockZeroRateAnalytics(zero_rates, 'Application_Part(A)&amp;(B)'!$C$19,'Application_Part(A)&amp;(B)'!$C$18,'Application_Part(A)&amp;(B)'!$C$16,'Application_Part(A)&amp;(B)'!$C$17,'Application_Part(A)&amp;(B)'!$C$27,'Application_Part(C)'!B44)</f>
        <v>55.240370236113549</v>
      </c>
      <c r="D44">
        <f ca="1"/>
        <v>7.5797384422642038</v>
      </c>
    </row>
    <row r="45" spans="2:4" x14ac:dyDescent="0.3">
      <c r="B45" s="3">
        <f t="shared" ca="1" si="0"/>
        <v>8.0000000000000029E-2</v>
      </c>
      <c r="C45">
        <f t="array" aca="1" ref="C45:D45" ca="1">ShockZeroRateAnalytics(zero_rates, 'Application_Part(A)&amp;(B)'!$C$19,'Application_Part(A)&amp;(B)'!$C$18,'Application_Part(A)&amp;(B)'!$C$16,'Application_Part(A)&amp;(B)'!$C$17,'Application_Part(A)&amp;(B)'!$C$27,'Application_Part(C)'!B45)</f>
        <v>54.205354628344423</v>
      </c>
      <c r="D45">
        <f ca="1"/>
        <v>7.5516916941439023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D45"/>
  <sheetViews>
    <sheetView workbookViewId="0">
      <selection activeCell="C4" sqref="C4:D4"/>
    </sheetView>
  </sheetViews>
  <sheetFormatPr defaultRowHeight="14.4" x14ac:dyDescent="0.3"/>
  <cols>
    <col min="2" max="2" width="19.77734375" bestFit="1" customWidth="1"/>
    <col min="3" max="3" width="10.109375" bestFit="1" customWidth="1"/>
    <col min="4" max="4" width="12.88671875" bestFit="1" customWidth="1"/>
  </cols>
  <sheetData>
    <row r="4" spans="2:4" x14ac:dyDescent="0.3">
      <c r="B4" t="s">
        <v>16</v>
      </c>
      <c r="C4" t="s">
        <v>14</v>
      </c>
      <c r="D4" t="s">
        <v>15</v>
      </c>
    </row>
    <row r="5" spans="2:4" x14ac:dyDescent="0.3">
      <c r="B5" s="3">
        <f ca="1">-200*0.0001</f>
        <v>-0.02</v>
      </c>
      <c r="C5">
        <f t="array" aca="1" ref="C5:D5" ca="1">ShockZSpreadAnalytics(zero_rates, 'Application_Part(A)&amp;(B)'!$C$19,'Application_Part(A)&amp;(B)'!$C$18,'Application_Part(A)&amp;(B)'!$C$16,'Application_Part(A)&amp;(B)'!$C$17,'Application_Part(A)&amp;(B)'!$C$27,'Application_Part(C)'!B5)</f>
        <v>121.29238525974134</v>
      </c>
      <c r="D5">
        <f ca="1"/>
        <v>8.4956341638383286</v>
      </c>
    </row>
    <row r="6" spans="2:4" x14ac:dyDescent="0.3">
      <c r="B6" s="3">
        <f ca="1">B5+25*0.0001</f>
        <v>-1.7500000000000002E-2</v>
      </c>
      <c r="C6">
        <f t="array" aca="1" ref="C6:D6" ca="1">ShockZSpreadAnalytics(zero_rates, 'Application_Part(A)&amp;(B)'!$C$19,'Application_Part(A)&amp;(B)'!$C$18,'Application_Part(A)&amp;(B)'!$C$16,'Application_Part(A)&amp;(B)'!$C$17,'Application_Part(A)&amp;(B)'!$C$27,'Application_Part(C)'!B6)</f>
        <v>118.74624994290045</v>
      </c>
      <c r="D6">
        <f ca="1"/>
        <v>8.4764693167568659</v>
      </c>
    </row>
    <row r="7" spans="2:4" x14ac:dyDescent="0.3">
      <c r="B7" s="3">
        <f t="shared" ref="B7:B45" ca="1" si="0">B6+25*0.0001</f>
        <v>-1.5000000000000001E-2</v>
      </c>
      <c r="C7">
        <f t="array" aca="1" ref="C7:D7" ca="1">ShockZSpreadAnalytics(zero_rates, 'Application_Part(A)&amp;(B)'!$C$19,'Application_Part(A)&amp;(B)'!$C$18,'Application_Part(A)&amp;(B)'!$C$16,'Application_Part(A)&amp;(B)'!$C$17,'Application_Part(A)&amp;(B)'!$C$27,'Application_Part(C)'!B7)</f>
        <v>116.25916429069807</v>
      </c>
      <c r="D7">
        <f ca="1"/>
        <v>8.4570852702979185</v>
      </c>
    </row>
    <row r="8" spans="2:4" x14ac:dyDescent="0.3">
      <c r="B8" s="3">
        <f t="shared" ca="1" si="0"/>
        <v>-1.2500000000000001E-2</v>
      </c>
      <c r="C8">
        <f t="array" aca="1" ref="C8:D8" ca="1">ShockZSpreadAnalytics(zero_rates, 'Application_Part(A)&amp;(B)'!$C$19,'Application_Part(A)&amp;(B)'!$C$18,'Application_Part(A)&amp;(B)'!$C$16,'Application_Part(A)&amp;(B)'!$C$17,'Application_Part(A)&amp;(B)'!$C$27,'Application_Part(C)'!B8)</f>
        <v>113.82971689452648</v>
      </c>
      <c r="D8">
        <f ca="1"/>
        <v>8.4374808962574956</v>
      </c>
    </row>
    <row r="9" spans="2:4" x14ac:dyDescent="0.3">
      <c r="B9" s="3">
        <f t="shared" ca="1" si="0"/>
        <v>-0.01</v>
      </c>
      <c r="C9">
        <f t="array" aca="1" ref="C9:D9" ca="1">ShockZSpreadAnalytics(zero_rates, 'Application_Part(A)&amp;(B)'!$C$19,'Application_Part(A)&amp;(B)'!$C$18,'Application_Part(A)&amp;(B)'!$C$16,'Application_Part(A)&amp;(B)'!$C$17,'Application_Part(A)&amp;(B)'!$C$27,'Application_Part(C)'!B9)</f>
        <v>111.45653051144957</v>
      </c>
      <c r="D9">
        <f ca="1"/>
        <v>8.417655107318458</v>
      </c>
    </row>
    <row r="10" spans="2:4" x14ac:dyDescent="0.3">
      <c r="B10" s="3">
        <f t="shared" ca="1" si="0"/>
        <v>-7.4999999999999997E-3</v>
      </c>
      <c r="C10">
        <f t="array" aca="1" ref="C10:D10" ca="1">ShockZSpreadAnalytics(zero_rates, 'Application_Part(A)&amp;(B)'!$C$19,'Application_Part(A)&amp;(B)'!$C$18,'Application_Part(A)&amp;(B)'!$C$16,'Application_Part(A)&amp;(B)'!$C$17,'Application_Part(A)&amp;(B)'!$C$27,'Application_Part(C)'!B10)</f>
        <v>109.1382612317756</v>
      </c>
      <c r="D10">
        <f ca="1"/>
        <v>8.3976068585997687</v>
      </c>
    </row>
    <row r="11" spans="2:4" x14ac:dyDescent="0.3">
      <c r="B11" s="3">
        <f t="shared" ca="1" si="0"/>
        <v>-4.9999999999999992E-3</v>
      </c>
      <c r="C11">
        <f t="array" aca="1" ref="C11:D11" ca="1">ShockZSpreadAnalytics(zero_rates, 'Application_Part(A)&amp;(B)'!$C$19,'Application_Part(A)&amp;(B)'!$C$18,'Application_Part(A)&amp;(B)'!$C$16,'Application_Part(A)&amp;(B)'!$C$17,'Application_Part(A)&amp;(B)'!$C$27,'Application_Part(C)'!B11)</f>
        <v>106.87359766698843</v>
      </c>
      <c r="D11">
        <f ca="1"/>
        <v>8.3773351492178634</v>
      </c>
    </row>
    <row r="12" spans="2:4" x14ac:dyDescent="0.3">
      <c r="B12" s="3">
        <f t="shared" ca="1" si="0"/>
        <v>-2.4999999999999992E-3</v>
      </c>
      <c r="C12">
        <f t="array" aca="1" ref="C12:D12" ca="1">ShockZSpreadAnalytics(zero_rates, 'Application_Part(A)&amp;(B)'!$C$19,'Application_Part(A)&amp;(B)'!$C$18,'Application_Part(A)&amp;(B)'!$C$16,'Application_Part(A)&amp;(B)'!$C$17,'Application_Part(A)&amp;(B)'!$C$27,'Application_Part(C)'!B12)</f>
        <v>104.66126015753747</v>
      </c>
      <c r="D12">
        <f ca="1"/>
        <v>8.3568390238588961</v>
      </c>
    </row>
    <row r="13" spans="2:4" x14ac:dyDescent="0.3">
      <c r="B13" s="3">
        <f t="shared" ca="1" si="0"/>
        <v>0</v>
      </c>
      <c r="C13">
        <f t="array" aca="1" ref="C13:D13" ca="1">ShockZSpreadAnalytics(zero_rates, 'Application_Part(A)&amp;(B)'!$C$19,'Application_Part(A)&amp;(B)'!$C$18,'Application_Part(A)&amp;(B)'!$C$16,'Application_Part(A)&amp;(B)'!$C$17,'Application_Part(A)&amp;(B)'!$C$27,'Application_Part(C)'!B13)</f>
        <v>102.50000000000003</v>
      </c>
      <c r="D13">
        <f ca="1"/>
        <v>8.336117574360463</v>
      </c>
    </row>
    <row r="14" spans="2:4" x14ac:dyDescent="0.3">
      <c r="B14" s="3">
        <f t="shared" ca="1" si="0"/>
        <v>2.5000000000000001E-3</v>
      </c>
      <c r="C14">
        <f t="array" aca="1" ref="C14:D14" ca="1">ShockZSpreadAnalytics(zero_rates, 'Application_Part(A)&amp;(B)'!$C$19,'Application_Part(A)&amp;(B)'!$C$18,'Application_Part(A)&amp;(B)'!$C$16,'Application_Part(A)&amp;(B)'!$C$17,'Application_Part(A)&amp;(B)'!$C$27,'Application_Part(C)'!B14)</f>
        <v>100.38859869314084</v>
      </c>
      <c r="D14">
        <f ca="1"/>
        <v>8.3151699413014022</v>
      </c>
    </row>
    <row r="15" spans="2:4" x14ac:dyDescent="0.3">
      <c r="B15" s="3">
        <f t="shared" ca="1" si="0"/>
        <v>5.0000000000000001E-3</v>
      </c>
      <c r="C15">
        <f t="array" aca="1" ref="C15:D15" ca="1">ShockZSpreadAnalytics(zero_rates, 'Application_Part(A)&amp;(B)'!$C$19,'Application_Part(A)&amp;(B)'!$C$18,'Application_Part(A)&amp;(B)'!$C$16,'Application_Part(A)&amp;(B)'!$C$17,'Application_Part(A)&amp;(B)'!$C$27,'Application_Part(C)'!B15)</f>
        <v>98.325867202406059</v>
      </c>
      <c r="D15">
        <f ca="1"/>
        <v>8.2939953155981705</v>
      </c>
    </row>
    <row r="16" spans="2:4" x14ac:dyDescent="0.3">
      <c r="B16" s="3">
        <f t="shared" ca="1" si="0"/>
        <v>7.4999999999999997E-3</v>
      </c>
      <c r="C16">
        <f t="array" aca="1" ref="C16:D16" ca="1">ShockZSpreadAnalytics(zero_rates, 'Application_Part(A)&amp;(B)'!$C$19,'Application_Part(A)&amp;(B)'!$C$18,'Application_Part(A)&amp;(B)'!$C$16,'Application_Part(A)&amp;(B)'!$C$17,'Application_Part(A)&amp;(B)'!$C$27,'Application_Part(C)'!B16)</f>
        <v>96.310645242399133</v>
      </c>
      <c r="D16">
        <f ca="1"/>
        <v>8.2725929401062164</v>
      </c>
    </row>
    <row r="17" spans="2:4" x14ac:dyDescent="0.3">
      <c r="B17" s="3">
        <f t="shared" ca="1" si="0"/>
        <v>0.01</v>
      </c>
      <c r="C17">
        <f t="array" aca="1" ref="C17:D17" ca="1">ShockZSpreadAnalytics(zero_rates, 'Application_Part(A)&amp;(B)'!$C$19,'Application_Part(A)&amp;(B)'!$C$18,'Application_Part(A)&amp;(B)'!$C$16,'Application_Part(A)&amp;(B)'!$C$17,'Application_Part(A)&amp;(B)'!$C$27,'Application_Part(C)'!B17)</f>
        <v>94.341800576898649</v>
      </c>
      <c r="D17">
        <f ca="1"/>
        <v>8.2509621112247711</v>
      </c>
    </row>
    <row r="18" spans="2:4" x14ac:dyDescent="0.3">
      <c r="B18" s="3">
        <f t="shared" ca="1" si="0"/>
        <v>1.2500000000000001E-2</v>
      </c>
      <c r="C18">
        <f t="array" aca="1" ref="C18:D18" ca="1">ShockZSpreadAnalytics(zero_rates, 'Application_Part(A)&amp;(B)'!$C$19,'Application_Part(A)&amp;(B)'!$C$18,'Application_Part(A)&amp;(B)'!$C$16,'Application_Part(A)&amp;(B)'!$C$17,'Application_Part(A)&amp;(B)'!$C$27,'Application_Part(C)'!B18)</f>
        <v>92.418228335987607</v>
      </c>
      <c r="D18">
        <f ca="1"/>
        <v>8.2291021805033306</v>
      </c>
    </row>
    <row r="19" spans="2:4" x14ac:dyDescent="0.3">
      <c r="B19" s="3">
        <f t="shared" ca="1" si="0"/>
        <v>1.5000000000000001E-2</v>
      </c>
      <c r="C19">
        <f t="array" aca="1" ref="C19:D19" ca="1">ShockZSpreadAnalytics(zero_rates, 'Application_Part(A)&amp;(B)'!$C$19,'Application_Part(A)&amp;(B)'!$C$18,'Application_Part(A)&amp;(B)'!$C$16,'Application_Part(A)&amp;(B)'!$C$17,'Application_Part(A)&amp;(B)'!$C$27,'Application_Part(C)'!B19)</f>
        <v>90.538850349875091</v>
      </c>
      <c r="D19">
        <f ca="1"/>
        <v>8.2070125562480882</v>
      </c>
    </row>
    <row r="20" spans="2:4" x14ac:dyDescent="0.3">
      <c r="B20" s="3">
        <f t="shared" ca="1" si="0"/>
        <v>1.7500000000000002E-2</v>
      </c>
      <c r="C20">
        <f t="array" aca="1" ref="C20:D20" ca="1">ShockZSpreadAnalytics(zero_rates, 'Application_Part(A)&amp;(B)'!$C$19,'Application_Part(A)&amp;(B)'!$C$18,'Application_Part(A)&amp;(B)'!$C$16,'Application_Part(A)&amp;(B)'!$C$17,'Application_Part(A)&amp;(B)'!$C$27,'Application_Part(C)'!B20)</f>
        <v>88.702614499001257</v>
      </c>
      <c r="D20">
        <f ca="1"/>
        <v>8.1846927051265137</v>
      </c>
    </row>
    <row r="21" spans="2:4" x14ac:dyDescent="0.3">
      <c r="B21" s="3">
        <f t="shared" ca="1" si="0"/>
        <v>0.02</v>
      </c>
      <c r="C21">
        <f t="array" aca="1" ref="C21:D21" ca="1">ShockZSpreadAnalytics(zero_rates, 'Application_Part(A)&amp;(B)'!$C$19,'Application_Part(A)&amp;(B)'!$C$18,'Application_Part(A)&amp;(B)'!$C$16,'Application_Part(A)&amp;(B)'!$C$17,'Application_Part(A)&amp;(B)'!$C$27,'Application_Part(C)'!B21)</f>
        <v>86.908494080026244</v>
      </c>
      <c r="D21">
        <f ca="1"/>
        <v>8.1621421537681709</v>
      </c>
    </row>
    <row r="22" spans="2:4" x14ac:dyDescent="0.3">
      <c r="B22" s="3">
        <f t="shared" ca="1" si="0"/>
        <v>2.2499999999999999E-2</v>
      </c>
      <c r="C22">
        <f t="array" aca="1" ref="C22:D22" ca="1">ShockZSpreadAnalytics(zero_rates, 'Application_Part(A)&amp;(B)'!$C$19,'Application_Part(A)&amp;(B)'!$C$18,'Application_Part(A)&amp;(B)'!$C$16,'Application_Part(A)&amp;(B)'!$C$17,'Application_Part(A)&amp;(B)'!$C$27,'Application_Part(C)'!B22)</f>
        <v>85.155487187314478</v>
      </c>
      <c r="D22">
        <f ca="1"/>
        <v>8.1393604903598664</v>
      </c>
    </row>
    <row r="23" spans="2:4" x14ac:dyDescent="0.3">
      <c r="B23" s="3">
        <f t="shared" ca="1" si="0"/>
        <v>2.4999999999999998E-2</v>
      </c>
      <c r="C23">
        <f t="array" aca="1" ref="C23:D23" ca="1">ShockZSpreadAnalytics(zero_rates, 'Application_Part(A)&amp;(B)'!$C$19,'Application_Part(A)&amp;(B)'!$C$18,'Application_Part(A)&amp;(B)'!$C$16,'Application_Part(A)&amp;(B)'!$C$17,'Application_Part(A)&amp;(B)'!$C$27,'Application_Part(C)'!B23)</f>
        <v>83.442616109533844</v>
      </c>
      <c r="D23">
        <f ca="1"/>
        <v>8.1163473662330929</v>
      </c>
    </row>
    <row r="24" spans="2:4" x14ac:dyDescent="0.3">
      <c r="B24" s="3">
        <f t="shared" ca="1" si="0"/>
        <v>2.7499999999999997E-2</v>
      </c>
      <c r="C24">
        <f t="array" aca="1" ref="C24:D24" ca="1">ShockZSpreadAnalytics(zero_rates, 'Application_Part(A)&amp;(B)'!$C$19,'Application_Part(A)&amp;(B)'!$C$18,'Application_Part(A)&amp;(B)'!$C$16,'Application_Part(A)&amp;(B)'!$C$17,'Application_Part(A)&amp;(B)'!$C$27,'Application_Part(C)'!B24)</f>
        <v>81.768926741000101</v>
      </c>
      <c r="D24">
        <f ca="1"/>
        <v>8.0931024974417323</v>
      </c>
    </row>
    <row r="25" spans="2:4" x14ac:dyDescent="0.3">
      <c r="B25" s="3">
        <f t="shared" ca="1" si="0"/>
        <v>2.9999999999999995E-2</v>
      </c>
      <c r="C25">
        <f t="array" aca="1" ref="C25:D25" ca="1">ShockZSpreadAnalytics(zero_rates, 'Application_Part(A)&amp;(B)'!$C$19,'Application_Part(A)&amp;(B)'!$C$18,'Application_Part(A)&amp;(B)'!$C$16,'Application_Part(A)&amp;(B)'!$C$17,'Application_Part(A)&amp;(B)'!$C$27,'Application_Part(C)'!B25)</f>
        <v>80.133488007404935</v>
      </c>
      <c r="D25">
        <f ca="1"/>
        <v>8.0696256663278909</v>
      </c>
    </row>
    <row r="26" spans="2:4" x14ac:dyDescent="0.3">
      <c r="B26" s="3">
        <f t="shared" ca="1" si="0"/>
        <v>3.2499999999999994E-2</v>
      </c>
      <c r="C26">
        <f t="array" aca="1" ref="C26:D26" ca="1">ShockZSpreadAnalytics(zero_rates, 'Application_Part(A)&amp;(B)'!$C$19,'Application_Part(A)&amp;(B)'!$C$18,'Application_Part(A)&amp;(B)'!$C$16,'Application_Part(A)&amp;(B)'!$C$17,'Application_Part(A)&amp;(B)'!$C$27,'Application_Part(C)'!B26)</f>
        <v>78.535391305575104</v>
      </c>
      <c r="D26">
        <f ca="1"/>
        <v>8.0459167230736952</v>
      </c>
    </row>
    <row r="27" spans="2:4" x14ac:dyDescent="0.3">
      <c r="B27" s="3">
        <f t="shared" ca="1" si="0"/>
        <v>3.4999999999999996E-2</v>
      </c>
      <c r="C27">
        <f t="array" aca="1" ref="C27:D27" ca="1">ShockZSpreadAnalytics(zero_rates, 'Application_Part(A)&amp;(B)'!$C$19,'Application_Part(A)&amp;(B)'!$C$18,'Application_Part(A)&amp;(B)'!$C$16,'Application_Part(A)&amp;(B)'!$C$17,'Application_Part(A)&amp;(B)'!$C$27,'Application_Part(C)'!B27)</f>
        <v>76.973749956919278</v>
      </c>
      <c r="D27">
        <f ca="1"/>
        <v>8.0219755872368115</v>
      </c>
    </row>
    <row r="28" spans="2:4" x14ac:dyDescent="0.3">
      <c r="B28" s="3">
        <f t="shared" ca="1" si="0"/>
        <v>3.7499999999999999E-2</v>
      </c>
      <c r="C28">
        <f t="array" aca="1" ref="C28:D28" ca="1">ShockZSpreadAnalytics(zero_rates, 'Application_Part(A)&amp;(B)'!$C$19,'Application_Part(A)&amp;(B)'!$C$18,'Application_Part(A)&amp;(B)'!$C$16,'Application_Part(A)&amp;(B)'!$C$17,'Application_Part(A)&amp;(B)'!$C$27,'Application_Part(C)'!B28)</f>
        <v>75.447698674227098</v>
      </c>
      <c r="D28">
        <f ca="1"/>
        <v>7.9978022492674263</v>
      </c>
    </row>
    <row r="29" spans="2:4" x14ac:dyDescent="0.3">
      <c r="B29" s="3">
        <f t="shared" ca="1" si="0"/>
        <v>0.04</v>
      </c>
      <c r="C29">
        <f t="array" aca="1" ref="C29:D29" ca="1">ShockZSpreadAnalytics(zero_rates, 'Application_Part(A)&amp;(B)'!$C$19,'Application_Part(A)&amp;(B)'!$C$18,'Application_Part(A)&amp;(B)'!$C$16,'Application_Part(A)&amp;(B)'!$C$17,'Application_Part(A)&amp;(B)'!$C$27,'Application_Part(C)'!B29)</f>
        <v>73.9563930414932</v>
      </c>
      <c r="D29">
        <f ca="1"/>
        <v>7.9733967720043566</v>
      </c>
    </row>
    <row r="30" spans="2:4" x14ac:dyDescent="0.3">
      <c r="B30" s="3">
        <f t="shared" ca="1" si="0"/>
        <v>4.2500000000000003E-2</v>
      </c>
      <c r="C30">
        <f t="array" aca="1" ref="C30:D30" ca="1">ShockZSpreadAnalytics(zero_rates, 'Application_Part(A)&amp;(B)'!$C$19,'Application_Part(A)&amp;(B)'!$C$18,'Application_Part(A)&amp;(B)'!$C$16,'Application_Part(A)&amp;(B)'!$C$17,'Application_Part(A)&amp;(B)'!$C$27,'Application_Part(C)'!B30)</f>
        <v>72.49900900644748</v>
      </c>
      <c r="D30">
        <f ca="1"/>
        <v>7.9487592921479271</v>
      </c>
    </row>
    <row r="31" spans="2:4" x14ac:dyDescent="0.3">
      <c r="B31" s="3">
        <f t="shared" ca="1" si="0"/>
        <v>4.5000000000000005E-2</v>
      </c>
      <c r="C31">
        <f t="array" aca="1" ref="C31:D31" ca="1">ShockZSpreadAnalytics(zero_rates, 'Application_Part(A)&amp;(B)'!$C$19,'Application_Part(A)&amp;(B)'!$C$18,'Application_Part(A)&amp;(B)'!$C$16,'Application_Part(A)&amp;(B)'!$C$17,'Application_Part(A)&amp;(B)'!$C$27,'Application_Part(C)'!B31)</f>
        <v>71.074742385479993</v>
      </c>
      <c r="D31">
        <f ca="1"/>
        <v>7.9238900217071873</v>
      </c>
    </row>
    <row r="32" spans="2:4" x14ac:dyDescent="0.3">
      <c r="B32" s="3">
        <f t="shared" ca="1" si="0"/>
        <v>4.7500000000000007E-2</v>
      </c>
      <c r="C32">
        <f t="array" aca="1" ref="C32:D32" ca="1">ShockZSpreadAnalytics(zero_rates, 'Application_Part(A)&amp;(B)'!$C$19,'Application_Part(A)&amp;(B)'!$C$18,'Application_Part(A)&amp;(B)'!$C$16,'Application_Part(A)&amp;(B)'!$C$17,'Application_Part(A)&amp;(B)'!$C$27,'Application_Part(C)'!B32)</f>
        <v>69.682808380657377</v>
      </c>
      <c r="D32">
        <f ca="1"/>
        <v>7.8987892494190293</v>
      </c>
    </row>
    <row r="33" spans="2:4" x14ac:dyDescent="0.3">
      <c r="B33" s="3">
        <f t="shared" ca="1" si="0"/>
        <v>5.000000000000001E-2</v>
      </c>
      <c r="C33">
        <f t="array" aca="1" ref="C33:D33" ca="1">ShockZSpreadAnalytics(zero_rates, 'Application_Part(A)&amp;(B)'!$C$19,'Application_Part(A)&amp;(B)'!$C$18,'Application_Part(A)&amp;(B)'!$C$16,'Application_Part(A)&amp;(B)'!$C$17,'Application_Part(A)&amp;(B)'!$C$27,'Application_Part(C)'!B33)</f>
        <v>68.322441108534122</v>
      </c>
      <c r="D33">
        <f ca="1"/>
        <v>7.8734573421367156</v>
      </c>
    </row>
    <row r="34" spans="2:4" x14ac:dyDescent="0.3">
      <c r="B34" s="3">
        <f t="shared" ca="1" si="0"/>
        <v>5.2500000000000012E-2</v>
      </c>
      <c r="C34">
        <f t="array" aca="1" ref="C34:D34" ca="1">ShockZSpreadAnalytics(zero_rates, 'Application_Part(A)&amp;(B)'!$C$19,'Application_Part(A)&amp;(B)'!$C$18,'Application_Part(A)&amp;(B)'!$C$16,'Application_Part(A)&amp;(B)'!$C$17,'Application_Part(A)&amp;(B)'!$C$27,'Application_Part(C)'!B34)</f>
        <v>66.992893140470144</v>
      </c>
      <c r="D34">
        <f ca="1"/>
        <v>7.8478947461853146</v>
      </c>
    </row>
    <row r="35" spans="2:4" x14ac:dyDescent="0.3">
      <c r="B35" s="3">
        <f t="shared" ca="1" si="0"/>
        <v>5.5000000000000014E-2</v>
      </c>
      <c r="C35">
        <f t="array" aca="1" ref="C35:D35" ca="1">ShockZSpreadAnalytics(zero_rates, 'Application_Part(A)&amp;(B)'!$C$19,'Application_Part(A)&amp;(B)'!$C$18,'Application_Part(A)&amp;(B)'!$C$16,'Application_Part(A)&amp;(B)'!$C$17,'Application_Part(A)&amp;(B)'!$C$27,'Application_Part(C)'!B35)</f>
        <v>65.693435054172923</v>
      </c>
      <c r="D35">
        <f ca="1"/>
        <v>7.8221019886814718</v>
      </c>
    </row>
    <row r="36" spans="2:4" x14ac:dyDescent="0.3">
      <c r="B36" s="3">
        <f t="shared" ca="1" si="0"/>
        <v>5.7500000000000016E-2</v>
      </c>
      <c r="C36">
        <f t="array" aca="1" ref="C36:D36" ca="1">ShockZSpreadAnalytics(zero_rates, 'Application_Part(A)&amp;(B)'!$C$19,'Application_Part(A)&amp;(B)'!$C$18,'Application_Part(A)&amp;(B)'!$C$16,'Application_Part(A)&amp;(B)'!$C$17,'Application_Part(A)&amp;(B)'!$C$27,'Application_Part(C)'!B36)</f>
        <v>64.423354996188976</v>
      </c>
      <c r="D36">
        <f ca="1"/>
        <v>7.7960796788149818</v>
      </c>
    </row>
    <row r="37" spans="2:4" x14ac:dyDescent="0.3">
      <c r="B37" s="3">
        <f t="shared" ca="1" si="0"/>
        <v>6.0000000000000019E-2</v>
      </c>
      <c r="C37">
        <f t="array" aca="1" ref="C37:D37" ca="1">ShockZSpreadAnalytics(zero_rates, 'Application_Part(A)&amp;(B)'!$C$19,'Application_Part(A)&amp;(B)'!$C$18,'Application_Part(A)&amp;(B)'!$C$16,'Application_Part(A)&amp;(B)'!$C$17,'Application_Part(A)&amp;(B)'!$C$27,'Application_Part(C)'!B37)</f>
        <v>63.181958255077014</v>
      </c>
      <c r="D37">
        <f ca="1"/>
        <v>7.7698285090895478</v>
      </c>
    </row>
    <row r="38" spans="2:4" x14ac:dyDescent="0.3">
      <c r="B38" s="3">
        <f t="shared" ca="1" si="0"/>
        <v>6.2500000000000014E-2</v>
      </c>
      <c r="C38">
        <f t="array" aca="1" ref="C38:D38" ca="1">ShockZSpreadAnalytics(zero_rates, 'Application_Part(A)&amp;(B)'!$C$19,'Application_Part(A)&amp;(B)'!$C$18,'Application_Part(A)&amp;(B)'!$C$16,'Application_Part(A)&amp;(B)'!$C$17,'Application_Part(A)&amp;(B)'!$C$27,'Application_Part(C)'!B38)</f>
        <v>61.968566845000794</v>
      </c>
      <c r="D38">
        <f ca="1"/>
        <v>7.7433492565201627</v>
      </c>
    </row>
    <row r="39" spans="2:4" x14ac:dyDescent="0.3">
      <c r="B39" s="3">
        <f t="shared" ca="1" si="0"/>
        <v>6.5000000000000016E-2</v>
      </c>
      <c r="C39">
        <f t="array" aca="1" ref="C39:D39" ca="1">ShockZSpreadAnalytics(zero_rates, 'Application_Part(A)&amp;(B)'!$C$19,'Application_Part(A)&amp;(B)'!$C$18,'Application_Part(A)&amp;(B)'!$C$16,'Application_Part(A)&amp;(B)'!$C$17,'Application_Part(A)&amp;(B)'!$C$27,'Application_Part(C)'!B39)</f>
        <v>60.782519099486862</v>
      </c>
      <c r="D39">
        <f ca="1"/>
        <v>7.7166427837844589</v>
      </c>
    </row>
    <row r="40" spans="2:4" x14ac:dyDescent="0.3">
      <c r="B40" s="3">
        <f t="shared" ca="1" si="0"/>
        <v>6.7500000000000018E-2</v>
      </c>
      <c r="C40">
        <f t="array" aca="1" ref="C40:D40" ca="1">ShockZSpreadAnalytics(zero_rates, 'Application_Part(A)&amp;(B)'!$C$19,'Application_Part(A)&amp;(B)'!$C$18,'Application_Part(A)&amp;(B)'!$C$16,'Application_Part(A)&amp;(B)'!$C$17,'Application_Part(A)&amp;(B)'!$C$27,'Application_Part(C)'!B40)</f>
        <v>59.623169275098121</v>
      </c>
      <c r="D40">
        <f ca="1"/>
        <v>7.6897100403254699</v>
      </c>
    </row>
    <row r="41" spans="2:4" x14ac:dyDescent="0.3">
      <c r="B41" s="3">
        <f t="shared" ca="1" si="0"/>
        <v>7.0000000000000021E-2</v>
      </c>
      <c r="C41">
        <f t="array" aca="1" ref="C41:D41" ca="1">ShockZSpreadAnalytics(zero_rates, 'Application_Part(A)&amp;(B)'!$C$19,'Application_Part(A)&amp;(B)'!$C$18,'Application_Part(A)&amp;(B)'!$C$16,'Application_Part(A)&amp;(B)'!$C$17,'Application_Part(A)&amp;(B)'!$C$27,'Application_Part(C)'!B41)</f>
        <v>58.48988716478047</v>
      </c>
      <c r="D41">
        <f ca="1"/>
        <v>7.6625520634031625</v>
      </c>
    </row>
    <row r="42" spans="2:4" x14ac:dyDescent="0.3">
      <c r="B42" s="3">
        <f t="shared" ca="1" si="0"/>
        <v>7.2500000000000023E-2</v>
      </c>
      <c r="C42">
        <f t="array" aca="1" ref="C42:D42" ca="1">ShockZSpreadAnalytics(zero_rates, 'Application_Part(A)&amp;(B)'!$C$19,'Application_Part(A)&amp;(B)'!$C$18,'Application_Part(A)&amp;(B)'!$C$16,'Application_Part(A)&amp;(B)'!$C$17,'Application_Part(A)&amp;(B)'!$C$27,'Application_Part(C)'!B42)</f>
        <v>57.382057720645889</v>
      </c>
      <c r="D42">
        <f ca="1"/>
        <v>7.6351699790921241</v>
      </c>
    </row>
    <row r="43" spans="2:4" x14ac:dyDescent="0.3">
      <c r="B43" s="3">
        <f t="shared" ca="1" si="0"/>
        <v>7.5000000000000025E-2</v>
      </c>
      <c r="C43">
        <f t="array" aca="1" ref="C43:D43" ca="1">ShockZSpreadAnalytics(zero_rates, 'Application_Part(A)&amp;(B)'!$C$19,'Application_Part(A)&amp;(B)'!$C$18,'Application_Part(A)&amp;(B)'!$C$16,'Application_Part(A)&amp;(B)'!$C$17,'Application_Part(A)&amp;(B)'!$C$27,'Application_Part(C)'!B43)</f>
        <v>56.299080685960632</v>
      </c>
      <c r="D43">
        <f ca="1"/>
        <v>7.6075650032228825</v>
      </c>
    </row>
    <row r="44" spans="2:4" x14ac:dyDescent="0.3">
      <c r="B44" s="3">
        <f t="shared" ca="1" si="0"/>
        <v>7.7500000000000027E-2</v>
      </c>
      <c r="C44">
        <f t="array" aca="1" ref="C44:D44" ca="1">ShockZSpreadAnalytics(zero_rates, 'Application_Part(A)&amp;(B)'!$C$19,'Application_Part(A)&amp;(B)'!$C$18,'Application_Part(A)&amp;(B)'!$C$16,'Application_Part(A)&amp;(B)'!$C$17,'Application_Part(A)&amp;(B)'!$C$27,'Application_Part(C)'!B44)</f>
        <v>55.240370236113542</v>
      </c>
      <c r="D44">
        <f ca="1"/>
        <v>7.5797384422642047</v>
      </c>
    </row>
    <row r="45" spans="2:4" x14ac:dyDescent="0.3">
      <c r="B45" s="3">
        <f t="shared" ca="1" si="0"/>
        <v>8.0000000000000029E-2</v>
      </c>
      <c r="C45">
        <f t="array" aca="1" ref="C45:D45" ca="1">ShockZSpreadAnalytics(zero_rates, 'Application_Part(A)&amp;(B)'!$C$19,'Application_Part(A)&amp;(B)'!$C$18,'Application_Part(A)&amp;(B)'!$C$16,'Application_Part(A)&amp;(B)'!$C$17,'Application_Part(A)&amp;(B)'!$C$27,'Application_Part(C)'!B45)</f>
        <v>54.205354628344409</v>
      </c>
      <c r="D45">
        <f ca="1"/>
        <v>7.5516916941439032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C25"/>
  <sheetViews>
    <sheetView workbookViewId="0">
      <selection activeCell="K21" sqref="K21"/>
    </sheetView>
  </sheetViews>
  <sheetFormatPr defaultRowHeight="14.4" x14ac:dyDescent="0.3"/>
  <cols>
    <col min="1" max="1" width="15.88671875" customWidth="1"/>
  </cols>
  <sheetData>
    <row r="2" spans="1:2" x14ac:dyDescent="0.3">
      <c r="A2" s="2" t="s">
        <v>17</v>
      </c>
    </row>
    <row r="4" spans="1:2" x14ac:dyDescent="0.3">
      <c r="A4" t="s">
        <v>18</v>
      </c>
    </row>
    <row r="5" spans="1:2" x14ac:dyDescent="0.3">
      <c r="A5" t="s">
        <v>21</v>
      </c>
    </row>
    <row r="6" spans="1:2" x14ac:dyDescent="0.3">
      <c r="A6" t="s">
        <v>19</v>
      </c>
    </row>
    <row r="7" spans="1:2" x14ac:dyDescent="0.3">
      <c r="A7" t="s">
        <v>20</v>
      </c>
    </row>
    <row r="11" spans="1:2" x14ac:dyDescent="0.3">
      <c r="A11" s="2" t="s">
        <v>22</v>
      </c>
    </row>
    <row r="12" spans="1:2" x14ac:dyDescent="0.3">
      <c r="A12" s="2"/>
    </row>
    <row r="13" spans="1:2" x14ac:dyDescent="0.3">
      <c r="A13" t="s">
        <v>5</v>
      </c>
      <c r="B13">
        <v>100</v>
      </c>
    </row>
    <row r="14" spans="1:2" x14ac:dyDescent="0.3">
      <c r="A14" t="s">
        <v>23</v>
      </c>
      <c r="B14">
        <v>5</v>
      </c>
    </row>
    <row r="15" spans="1:2" x14ac:dyDescent="0.3">
      <c r="A15" t="s">
        <v>24</v>
      </c>
      <c r="B15">
        <f ca="1">100*0.0001</f>
        <v>0.01</v>
      </c>
    </row>
    <row r="16" spans="1:2" x14ac:dyDescent="0.3">
      <c r="A16" t="s">
        <v>4</v>
      </c>
      <c r="B16">
        <v>4</v>
      </c>
    </row>
    <row r="18" spans="1:3" x14ac:dyDescent="0.3">
      <c r="A18" s="1" t="s">
        <v>7</v>
      </c>
      <c r="B18" s="1" t="s">
        <v>8</v>
      </c>
      <c r="C18" s="1" t="s">
        <v>9</v>
      </c>
    </row>
    <row r="19" spans="1:3" x14ac:dyDescent="0.3">
      <c r="A19" s="1">
        <f t="array" aca="1" ref="A19:C19" ca="1">GetFRNAnalytics(zero_rates, B14, B15, B13, B16)</f>
        <v>104.8448974113679</v>
      </c>
      <c r="B19" s="1">
        <f ca="1"/>
        <v>0.1199687955602734</v>
      </c>
      <c r="C19" s="1">
        <f ca="1"/>
        <v>0.40742016134333947</v>
      </c>
    </row>
    <row r="22" spans="1:3" x14ac:dyDescent="0.3">
      <c r="A22" s="2" t="s">
        <v>25</v>
      </c>
    </row>
    <row r="24" spans="1:3" x14ac:dyDescent="0.3">
      <c r="A24" t="s">
        <v>12</v>
      </c>
      <c r="B24">
        <v>99.5</v>
      </c>
    </row>
    <row r="25" spans="1:3" x14ac:dyDescent="0.3">
      <c r="A25" t="s">
        <v>26</v>
      </c>
      <c r="B25" s="1">
        <f ca="1">GetConstantZSpreadForFRN(zero_rates, B14, B15, B13,B16,B24)</f>
        <v>1.1010907374164408E-2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:D45"/>
  <sheetViews>
    <sheetView workbookViewId="0">
      <selection activeCell="Q22" sqref="Q22"/>
    </sheetView>
  </sheetViews>
  <sheetFormatPr defaultRowHeight="14.4" x14ac:dyDescent="0.3"/>
  <cols>
    <col min="2" max="2" width="13.33203125" bestFit="1" customWidth="1"/>
    <col min="3" max="3" width="10.109375" bestFit="1" customWidth="1"/>
    <col min="4" max="4" width="12.88671875" bestFit="1" customWidth="1"/>
  </cols>
  <sheetData>
    <row r="4" spans="2:4" x14ac:dyDescent="0.3">
      <c r="B4" t="s">
        <v>13</v>
      </c>
      <c r="C4" t="s">
        <v>14</v>
      </c>
      <c r="D4" t="s">
        <v>15</v>
      </c>
    </row>
    <row r="5" spans="2:4" x14ac:dyDescent="0.3">
      <c r="B5" s="3">
        <f ca="1">-200*0.0001</f>
        <v>-0.02</v>
      </c>
      <c r="C5">
        <f t="array" aca="1" ref="C5:D5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'Application_Part(H)'!B5)</f>
        <v>99.500670944185359</v>
      </c>
      <c r="D5">
        <f ca="1"/>
        <v>5.6073593876347692E-4</v>
      </c>
    </row>
    <row r="6" spans="2:4" x14ac:dyDescent="0.3">
      <c r="B6" s="3">
        <f ca="1">B5+25*0.0001</f>
        <v>-1.7500000000000002E-2</v>
      </c>
      <c r="C6">
        <f t="array" aca="1" ref="C6:D6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'Application_Part(H)'!B6)</f>
        <v>99.500538708343484</v>
      </c>
      <c r="D6">
        <f ca="1"/>
        <v>5.0263534418473299E-4</v>
      </c>
    </row>
    <row r="7" spans="2:4" x14ac:dyDescent="0.3">
      <c r="B7" s="3">
        <f t="shared" ref="B7:B45" ca="1" si="0">B6+25*0.0001</f>
        <v>-1.5000000000000001E-2</v>
      </c>
      <c r="C7">
        <f t="array" aca="1" ref="C7:D7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'Application_Part(H)'!B7)</f>
        <v>99.500420795724537</v>
      </c>
      <c r="D7">
        <f ca="1"/>
        <v>4.4557367447353458E-4</v>
      </c>
    </row>
    <row r="8" spans="2:4" x14ac:dyDescent="0.3">
      <c r="B8" s="3">
        <f t="shared" ca="1" si="0"/>
        <v>-1.2500000000000001E-2</v>
      </c>
      <c r="C8">
        <f t="array" aca="1" ref="C8:D8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'Application_Part(H)'!B8)</f>
        <v>99.500316949741432</v>
      </c>
      <c r="D8">
        <f ca="1"/>
        <v>3.8953570627287242E-4</v>
      </c>
    </row>
    <row r="9" spans="2:4" x14ac:dyDescent="0.3">
      <c r="B9" s="3">
        <f t="shared" ca="1" si="0"/>
        <v>-0.01</v>
      </c>
      <c r="C9">
        <f t="array" aca="1" ref="C9:D9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'Application_Part(H)'!B9)</f>
        <v>99.500226917579624</v>
      </c>
      <c r="D9">
        <f ca="1"/>
        <v>3.3450639607782834E-4</v>
      </c>
    </row>
    <row r="10" spans="2:4" x14ac:dyDescent="0.3">
      <c r="B10" s="3">
        <f t="shared" ca="1" si="0"/>
        <v>-7.4999999999999997E-3</v>
      </c>
      <c r="C10">
        <f t="array" aca="1" ref="C10:D10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'Application_Part(H)'!B10)</f>
        <v>99.500150450144773</v>
      </c>
      <c r="D10">
        <f ca="1"/>
        <v>2.8047092385503149E-4</v>
      </c>
    </row>
    <row r="11" spans="2:4" x14ac:dyDescent="0.3">
      <c r="B11" s="3">
        <f t="shared" ca="1" si="0"/>
        <v>-4.9999999999999992E-3</v>
      </c>
      <c r="C11">
        <f t="array" aca="1" ref="C11:D11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'Application_Part(H)'!B11)</f>
        <v>99.500087302012091</v>
      </c>
      <c r="D11">
        <f ca="1"/>
        <v>2.2741466096446288E-4</v>
      </c>
    </row>
    <row r="12" spans="2:4" x14ac:dyDescent="0.3">
      <c r="B12" s="3">
        <f t="shared" ca="1" si="0"/>
        <v>-2.4999999999999992E-3</v>
      </c>
      <c r="C12">
        <f t="array" aca="1" ref="C12:D12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'Application_Part(H)'!B12)</f>
        <v>99.500037231375885</v>
      </c>
      <c r="D12">
        <f ca="1"/>
        <v>1.7532318306837978E-4</v>
      </c>
    </row>
    <row r="13" spans="2:4" x14ac:dyDescent="0.3">
      <c r="B13" s="3">
        <f t="shared" ca="1" si="0"/>
        <v>0</v>
      </c>
      <c r="C13">
        <f t="array" aca="1" ref="C13:D13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'Application_Part(H)'!B13)</f>
        <v>99.500000000000014</v>
      </c>
      <c r="D13">
        <f ca="1"/>
        <v>1.2418226161507525E-4</v>
      </c>
    </row>
    <row r="14" spans="2:4" x14ac:dyDescent="0.3">
      <c r="B14" s="3">
        <f t="shared" ca="1" si="0"/>
        <v>2.5000000000000001E-3</v>
      </c>
      <c r="C14">
        <f t="array" aca="1" ref="C14:D14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'Application_Part(H)'!B14)</f>
        <v>99.499975373168638</v>
      </c>
      <c r="D14">
        <f ca="1"/>
        <v>7.397786246198963E-5</v>
      </c>
    </row>
    <row r="15" spans="2:4" x14ac:dyDescent="0.3">
      <c r="B15" s="3">
        <f t="shared" ca="1" si="0"/>
        <v>5.0000000000000001E-3</v>
      </c>
      <c r="C15">
        <f t="array" aca="1" ref="C15:D15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'Application_Part(H)'!B15)</f>
        <v>99.499963119638281</v>
      </c>
      <c r="D15">
        <f ca="1"/>
        <v>2.4696141640657904E-5</v>
      </c>
    </row>
    <row r="16" spans="2:4" x14ac:dyDescent="0.3">
      <c r="B16" s="3">
        <f t="shared" ca="1" si="0"/>
        <v>7.4999999999999997E-3</v>
      </c>
      <c r="C16">
        <f t="array" aca="1" ref="C16:D16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'Application_Part(H)'!B16)</f>
        <v>99.499963011589614</v>
      </c>
      <c r="D16">
        <f ca="1"/>
        <v>-2.3676551738866503E-5</v>
      </c>
    </row>
    <row r="17" spans="2:4" x14ac:dyDescent="0.3">
      <c r="B17" s="3">
        <f t="shared" ca="1" si="0"/>
        <v>0.01</v>
      </c>
      <c r="C17">
        <f t="array" aca="1" ref="C17:D17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'Application_Part(H)'!B17)</f>
        <v>99.499974824580789</v>
      </c>
      <c r="D17">
        <f ca="1"/>
        <v>-7.1153680440447153E-5</v>
      </c>
    </row>
    <row r="18" spans="2:4" x14ac:dyDescent="0.3">
      <c r="B18" s="3">
        <f t="shared" ca="1" si="0"/>
        <v>1.2500000000000001E-2</v>
      </c>
      <c r="C18">
        <f t="array" aca="1" ref="C18:D18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'Application_Part(H)'!B18)</f>
        <v>99.499998337500799</v>
      </c>
      <c r="D18">
        <f ca="1"/>
        <v>-1.1774853191110952E-4</v>
      </c>
    </row>
    <row r="19" spans="2:4" x14ac:dyDescent="0.3">
      <c r="B19" s="3">
        <f t="shared" ca="1" si="0"/>
        <v>1.5000000000000001E-2</v>
      </c>
      <c r="C19">
        <f t="array" aca="1" ref="C19:D19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'Application_Part(H)'!B19)</f>
        <v>99.500033332523657</v>
      </c>
      <c r="D19">
        <f ca="1"/>
        <v>-1.6347420252725635E-4</v>
      </c>
    </row>
    <row r="20" spans="2:4" x14ac:dyDescent="0.3">
      <c r="B20" s="3">
        <f t="shared" ca="1" si="0"/>
        <v>1.7500000000000002E-2</v>
      </c>
      <c r="C20">
        <f t="array" aca="1" ref="C20:D20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'Application_Part(H)'!B20)</f>
        <v>99.500079595063298</v>
      </c>
      <c r="D20">
        <f ca="1"/>
        <v>-2.0834360826455506E-4</v>
      </c>
    </row>
    <row r="21" spans="2:4" x14ac:dyDescent="0.3">
      <c r="B21" s="3">
        <f t="shared" ca="1" si="0"/>
        <v>0.02</v>
      </c>
      <c r="C21">
        <f t="array" aca="1" ref="C21:D21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'Application_Part(H)'!B21)</f>
        <v>99.50013691372861</v>
      </c>
      <c r="D21">
        <f ca="1"/>
        <v>-2.5236949893979552E-4</v>
      </c>
    </row>
    <row r="22" spans="2:4" x14ac:dyDescent="0.3">
      <c r="B22" s="3">
        <f t="shared" ca="1" si="0"/>
        <v>2.2499999999999999E-2</v>
      </c>
      <c r="C22">
        <f t="array" aca="1" ref="C22:D22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'Application_Part(H)'!B22)</f>
        <v>99.500205080279926</v>
      </c>
      <c r="D22">
        <f ca="1"/>
        <v>-2.9556444031904338E-4</v>
      </c>
    </row>
    <row r="23" spans="2:4" x14ac:dyDescent="0.3">
      <c r="B23" s="3">
        <f t="shared" ca="1" si="0"/>
        <v>2.4999999999999998E-2</v>
      </c>
      <c r="C23">
        <f t="array" aca="1" ref="C23:D23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'Application_Part(H)'!B23)</f>
        <v>99.500283889585063</v>
      </c>
      <c r="D23">
        <f ca="1"/>
        <v>-3.3794082193521429E-4</v>
      </c>
    </row>
    <row r="24" spans="2:4" x14ac:dyDescent="0.3">
      <c r="B24" s="3">
        <f t="shared" ca="1" si="0"/>
        <v>2.7499999999999997E-2</v>
      </c>
      <c r="C24">
        <f t="array" aca="1" ref="C24:D24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'Application_Part(H)'!B24)</f>
        <v>99.500373139576737</v>
      </c>
      <c r="D24">
        <f ca="1"/>
        <v>-3.7951087633269467E-4</v>
      </c>
    </row>
    <row r="25" spans="2:4" x14ac:dyDescent="0.3">
      <c r="B25" s="3">
        <f t="shared" ca="1" si="0"/>
        <v>2.9999999999999995E-2</v>
      </c>
      <c r="C25">
        <f t="array" aca="1" ref="C25:D25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'Application_Part(H)'!B25)</f>
        <v>99.500472631210229</v>
      </c>
      <c r="D25">
        <f ca="1"/>
        <v>-4.2028665403830655E-4</v>
      </c>
    </row>
    <row r="26" spans="2:4" x14ac:dyDescent="0.3">
      <c r="B26" s="3">
        <f t="shared" ca="1" si="0"/>
        <v>3.2499999999999994E-2</v>
      </c>
      <c r="C26">
        <f t="array" aca="1" ref="C26:D26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'Application_Part(H)'!B26)</f>
        <v>99.500582168421644</v>
      </c>
      <c r="D26">
        <f ca="1"/>
        <v>-4.6028004637895729E-4</v>
      </c>
    </row>
    <row r="27" spans="2:4" x14ac:dyDescent="0.3">
      <c r="B27" s="3">
        <f t="shared" ca="1" si="0"/>
        <v>3.4999999999999996E-2</v>
      </c>
      <c r="C27">
        <f t="array" aca="1" ref="C27:D27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'Application_Part(H)'!B27)</f>
        <v>99.500701558086575</v>
      </c>
      <c r="D27">
        <f ca="1"/>
        <v>-4.9950278187833408E-4</v>
      </c>
    </row>
    <row r="28" spans="2:4" x14ac:dyDescent="0.3">
      <c r="B28" s="3">
        <f t="shared" ca="1" si="0"/>
        <v>3.7499999999999999E-2</v>
      </c>
      <c r="C28">
        <f t="array" aca="1" ref="C28:D28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'Application_Part(H)'!B28)</f>
        <v>99.500830609979715</v>
      </c>
      <c r="D28">
        <f ca="1"/>
        <v>-5.3796642765352356E-4</v>
      </c>
    </row>
    <row r="29" spans="2:4" x14ac:dyDescent="0.3">
      <c r="B29" s="3">
        <f t="shared" ca="1" si="0"/>
        <v>0.04</v>
      </c>
      <c r="C29">
        <f t="array" aca="1" ref="C29:D29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'Application_Part(H)'!B29)</f>
        <v>99.500969136734597</v>
      </c>
      <c r="D29">
        <f ca="1"/>
        <v>-5.7568238581399793E-4</v>
      </c>
    </row>
    <row r="30" spans="2:4" x14ac:dyDescent="0.3">
      <c r="B30" s="3">
        <f t="shared" ca="1" si="0"/>
        <v>4.2500000000000003E-2</v>
      </c>
      <c r="C30">
        <f t="array" aca="1" ref="C30:D30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'Application_Part(H)'!B30)</f>
        <v>99.501116953804058</v>
      </c>
      <c r="D30">
        <f ca="1"/>
        <v>-6.1266190557203806E-4</v>
      </c>
    </row>
    <row r="31" spans="2:4" x14ac:dyDescent="0.3">
      <c r="B31" s="3">
        <f t="shared" ca="1" si="0"/>
        <v>4.5000000000000005E-2</v>
      </c>
      <c r="C31">
        <f t="array" aca="1" ref="C31:D31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'Application_Part(H)'!B31)</f>
        <v>99.501273879421277</v>
      </c>
      <c r="D31">
        <f ca="1"/>
        <v>-6.4891608107202218E-4</v>
      </c>
    </row>
    <row r="32" spans="2:4" x14ac:dyDescent="0.3">
      <c r="B32" s="3">
        <f t="shared" ca="1" si="0"/>
        <v>4.7500000000000007E-2</v>
      </c>
      <c r="C32">
        <f t="array" aca="1" ref="C32:D32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'Application_Part(H)'!B32)</f>
        <v>99.50143973456116</v>
      </c>
      <c r="D32">
        <f ca="1"/>
        <v>-6.8445585636178611E-4</v>
      </c>
    </row>
    <row r="33" spans="2:4" x14ac:dyDescent="0.3">
      <c r="B33" s="3">
        <f t="shared" ca="1" si="0"/>
        <v>5.000000000000001E-2</v>
      </c>
      <c r="C33">
        <f t="array" aca="1" ref="C33:D33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'Application_Part(H)'!B33)</f>
        <v>99.501614342902343</v>
      </c>
      <c r="D33">
        <f ca="1"/>
        <v>-7.1929201108417704E-4</v>
      </c>
    </row>
    <row r="34" spans="2:4" x14ac:dyDescent="0.3">
      <c r="B34" s="3">
        <f t="shared" ca="1" si="0"/>
        <v>5.2500000000000012E-2</v>
      </c>
      <c r="C34">
        <f t="array" aca="1" ref="C34:D34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'Application_Part(H)'!B34)</f>
        <v>99.501797530789901</v>
      </c>
      <c r="D34">
        <f ca="1"/>
        <v>-7.5343519044394967E-4</v>
      </c>
    </row>
    <row r="35" spans="2:4" x14ac:dyDescent="0.3">
      <c r="B35" s="3">
        <f t="shared" ca="1" si="0"/>
        <v>5.5000000000000014E-2</v>
      </c>
      <c r="C35">
        <f t="array" aca="1" ref="C35:D35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'Application_Part(H)'!B35)</f>
        <v>99.501989127198158</v>
      </c>
      <c r="D35">
        <f ca="1"/>
        <v>-7.8689588947293164E-4</v>
      </c>
    </row>
    <row r="36" spans="2:4" x14ac:dyDescent="0.3">
      <c r="B36" s="3">
        <f t="shared" ca="1" si="0"/>
        <v>5.7500000000000016E-2</v>
      </c>
      <c r="C36">
        <f t="array" aca="1" ref="C36:D36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'Application_Part(H)'!B36)</f>
        <v>99.502188963694095</v>
      </c>
      <c r="D36">
        <f ca="1"/>
        <v>-8.1968444943592673E-4</v>
      </c>
    </row>
    <row r="37" spans="2:4" x14ac:dyDescent="0.3">
      <c r="B37" s="3">
        <f t="shared" ca="1" si="0"/>
        <v>6.0000000000000019E-2</v>
      </c>
      <c r="C37">
        <f t="array" aca="1" ref="C37:D37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'Application_Part(H)'!B37)</f>
        <v>99.502396874401626</v>
      </c>
      <c r="D37">
        <f ca="1"/>
        <v>-8.5181108065909676E-4</v>
      </c>
    </row>
    <row r="38" spans="2:4" x14ac:dyDescent="0.3">
      <c r="B38" s="3">
        <f t="shared" ca="1" si="0"/>
        <v>6.2500000000000014E-2</v>
      </c>
      <c r="C38">
        <f t="array" aca="1" ref="C38:D38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'Application_Part(H)'!B38)</f>
        <v>99.502612695965809</v>
      </c>
      <c r="D38">
        <f ca="1"/>
        <v>-8.8328583680048604E-4</v>
      </c>
    </row>
    <row r="39" spans="2:4" x14ac:dyDescent="0.3">
      <c r="B39" s="3">
        <f t="shared" ca="1" si="0"/>
        <v>6.5000000000000016E-2</v>
      </c>
      <c r="C39">
        <f t="array" aca="1" ref="C39:D39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'Application_Part(H)'!B39)</f>
        <v>99.502836267517949</v>
      </c>
      <c r="D39">
        <f ca="1"/>
        <v>-9.1411865053369213E-4</v>
      </c>
    </row>
    <row r="40" spans="2:4" x14ac:dyDescent="0.3">
      <c r="B40" s="3">
        <f t="shared" ca="1" si="0"/>
        <v>6.7500000000000018E-2</v>
      </c>
      <c r="C40">
        <f t="array" aca="1" ref="C40:D40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'Application_Part(H)'!B40)</f>
        <v>99.503067430640954</v>
      </c>
      <c r="D40">
        <f ca="1"/>
        <v>-9.4431930067909913E-4</v>
      </c>
    </row>
    <row r="41" spans="2:4" x14ac:dyDescent="0.3">
      <c r="B41" s="3">
        <f t="shared" ca="1" si="0"/>
        <v>7.0000000000000021E-2</v>
      </c>
      <c r="C41">
        <f t="array" aca="1" ref="C41:D41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'Application_Part(H)'!B41)</f>
        <v>99.503306029335192</v>
      </c>
      <c r="D41">
        <f ca="1"/>
        <v>-9.7389743860577175E-4</v>
      </c>
    </row>
    <row r="42" spans="2:4" x14ac:dyDescent="0.3">
      <c r="B42" s="3">
        <f t="shared" ca="1" si="0"/>
        <v>7.2500000000000023E-2</v>
      </c>
      <c r="C42">
        <f t="array" aca="1" ref="C42:D42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'Application_Part(H)'!B42)</f>
        <v>99.503551909984807</v>
      </c>
      <c r="D42">
        <f ca="1"/>
        <v>-1.0028625775011647E-3</v>
      </c>
    </row>
    <row r="43" spans="2:4" x14ac:dyDescent="0.3">
      <c r="B43" s="3">
        <f t="shared" ca="1" si="0"/>
        <v>7.5000000000000025E-2</v>
      </c>
      <c r="C43">
        <f t="array" aca="1" ref="C43:D43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'Application_Part(H)'!B43)</f>
        <v>99.503804921324516</v>
      </c>
      <c r="D43">
        <f ca="1"/>
        <v>-1.0312241023502102E-3</v>
      </c>
    </row>
    <row r="44" spans="2:4" x14ac:dyDescent="0.3">
      <c r="B44" s="3">
        <f t="shared" ca="1" si="0"/>
        <v>7.7500000000000027E-2</v>
      </c>
      <c r="C44">
        <f t="array" aca="1" ref="C44:D44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'Application_Part(H)'!B44)</f>
        <v>99.504064914406911</v>
      </c>
      <c r="D44">
        <f ca="1"/>
        <v>-1.05899126277694E-3</v>
      </c>
    </row>
    <row r="45" spans="2:4" x14ac:dyDescent="0.3">
      <c r="B45" s="3">
        <f t="shared" ca="1" si="0"/>
        <v>8.0000000000000029E-2</v>
      </c>
      <c r="C45">
        <f t="array" aca="1" ref="C45:D45" ca="1">ShockZeroRateFRNAnalytics(zero_rates,'Application_Part(E)&amp;(F)&amp;(G)'!$B$14,'Application_Part(E)&amp;(F)&amp;(G)'!$B$15, 'Application_Part(E)&amp;(F)&amp;(G)'!$B$13, 'Application_Part(E)&amp;(F)&amp;(G)'!$B$16, 'Application_Part(E)&amp;(F)&amp;(G)'!$B$25, 'Application_Part(H)'!B45)</f>
        <v>99.504331742569931</v>
      </c>
      <c r="D45">
        <f ca="1"/>
        <v>-1.0861731873093756E-3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4:D45"/>
  <sheetViews>
    <sheetView tabSelected="1" workbookViewId="0">
      <selection activeCell="N16" sqref="N16"/>
    </sheetView>
  </sheetViews>
  <sheetFormatPr defaultRowHeight="14.4" x14ac:dyDescent="0.3"/>
  <cols>
    <col min="2" max="2" width="19.77734375" bestFit="1" customWidth="1"/>
    <col min="3" max="3" width="10.109375" bestFit="1" customWidth="1"/>
    <col min="4" max="4" width="12.88671875" bestFit="1" customWidth="1"/>
  </cols>
  <sheetData>
    <row r="4" spans="2:4" x14ac:dyDescent="0.3">
      <c r="B4" t="s">
        <v>16</v>
      </c>
      <c r="C4" t="s">
        <v>14</v>
      </c>
      <c r="D4" t="s">
        <v>15</v>
      </c>
    </row>
    <row r="5" spans="2:4" x14ac:dyDescent="0.3">
      <c r="B5" s="3">
        <f ca="1">-200*0.0001</f>
        <v>-0.02</v>
      </c>
      <c r="C5">
        <f t="array" aca="1" ref="C5:D5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'Application_Part(I)'!B5)</f>
        <v>109.4275176587843</v>
      </c>
      <c r="D5">
        <f ca="1"/>
        <v>0.21509289046587313</v>
      </c>
    </row>
    <row r="6" spans="2:4" x14ac:dyDescent="0.3">
      <c r="B6" s="3">
        <f ca="1">B5+25*0.0001</f>
        <v>-1.7500000000000002E-2</v>
      </c>
      <c r="C6">
        <f t="array" aca="1" ref="C6:D6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'Application_Part(I)'!B6)</f>
        <v>108.13267180136698</v>
      </c>
      <c r="D6">
        <f ca="1"/>
        <v>0.18887848121052375</v>
      </c>
    </row>
    <row r="7" spans="2:4" x14ac:dyDescent="0.3">
      <c r="B7" s="3">
        <f t="shared" ref="B7:B45" ca="1" si="0">B6+25*0.0001</f>
        <v>-1.5000000000000001E-2</v>
      </c>
      <c r="C7">
        <f t="array" aca="1" ref="C7:D7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'Application_Part(I)'!B7)</f>
        <v>106.8536101032999</v>
      </c>
      <c r="D7">
        <f ca="1"/>
        <v>0.16247905499299908</v>
      </c>
    </row>
    <row r="8" spans="2:4" x14ac:dyDescent="0.3">
      <c r="B8" s="3">
        <f t="shared" ca="1" si="0"/>
        <v>-1.2500000000000001E-2</v>
      </c>
      <c r="C8">
        <f t="array" aca="1" ref="C8:D8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'Application_Part(I)'!B8)</f>
        <v>105.59013839573615</v>
      </c>
      <c r="D8">
        <f ca="1"/>
        <v>0.13589331752100497</v>
      </c>
    </row>
    <row r="9" spans="2:4" x14ac:dyDescent="0.3">
      <c r="B9" s="3">
        <f t="shared" ca="1" si="0"/>
        <v>-0.01</v>
      </c>
      <c r="C9">
        <f t="array" aca="1" ref="C9:D9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'Application_Part(I)'!B9)</f>
        <v>104.34206490761983</v>
      </c>
      <c r="D9">
        <f ca="1"/>
        <v>0.10911996765288216</v>
      </c>
    </row>
    <row r="10" spans="2:4" x14ac:dyDescent="0.3">
      <c r="B10" s="3">
        <f t="shared" ca="1" si="0"/>
        <v>-7.4999999999999997E-3</v>
      </c>
      <c r="C10">
        <f t="array" aca="1" ref="C10:D10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'Application_Part(I)'!B10)</f>
        <v>103.10920023601719</v>
      </c>
      <c r="D10">
        <f ca="1"/>
        <v>8.2157697404876634E-2</v>
      </c>
    </row>
    <row r="11" spans="2:4" x14ac:dyDescent="0.3">
      <c r="B11" s="3">
        <f t="shared" ca="1" si="0"/>
        <v>-4.9999999999999992E-3</v>
      </c>
      <c r="C11">
        <f t="array" aca="1" ref="C11:D11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'Application_Part(I)'!B11)</f>
        <v>101.89135731681561</v>
      </c>
      <c r="D11">
        <f ca="1"/>
        <v>5.5005191970051666E-2</v>
      </c>
    </row>
    <row r="12" spans="2:4" x14ac:dyDescent="0.3">
      <c r="B12" s="3">
        <f t="shared" ca="1" si="0"/>
        <v>-2.4999999999999992E-3</v>
      </c>
      <c r="C12">
        <f t="array" aca="1" ref="C12:D12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'Application_Part(I)'!B12)</f>
        <v>100.68835139578539</v>
      </c>
      <c r="D12">
        <f ca="1"/>
        <v>2.766112972736591E-2</v>
      </c>
    </row>
    <row r="13" spans="2:4" x14ac:dyDescent="0.3">
      <c r="B13" s="3">
        <f t="shared" ca="1" si="0"/>
        <v>0</v>
      </c>
      <c r="C13">
        <f t="array" aca="1" ref="C13:D13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'Application_Part(I)'!B13)</f>
        <v>99.500000000000014</v>
      </c>
      <c r="D13">
        <f ca="1"/>
        <v>1.2418226161507525E-4</v>
      </c>
    </row>
    <row r="14" spans="2:4" x14ac:dyDescent="0.3">
      <c r="B14" s="3">
        <f t="shared" ca="1" si="0"/>
        <v>2.5000000000000001E-3</v>
      </c>
      <c r="C14">
        <f t="array" aca="1" ref="C14:D14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'Application_Part(I)'!B14)</f>
        <v>98.326122909610376</v>
      </c>
      <c r="D14">
        <f ca="1"/>
        <v>-2.7606985622068481E-2</v>
      </c>
    </row>
    <row r="15" spans="2:4" x14ac:dyDescent="0.3">
      <c r="B15" s="3">
        <f t="shared" ca="1" si="0"/>
        <v>5.0000000000000001E-3</v>
      </c>
      <c r="C15">
        <f t="array" aca="1" ref="C15:D15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'Application_Part(I)'!B15)</f>
        <v>97.166542129968818</v>
      </c>
      <c r="D15">
        <f ca="1"/>
        <v>-5.5533715877083716E-2</v>
      </c>
    </row>
    <row r="16" spans="2:4" x14ac:dyDescent="0.3">
      <c r="B16" s="3">
        <f t="shared" ca="1" si="0"/>
        <v>7.4999999999999997E-3</v>
      </c>
      <c r="C16">
        <f t="array" aca="1" ref="C16:D16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'Application_Part(I)'!B16)</f>
        <v>96.021081864098349</v>
      </c>
      <c r="D16">
        <f ca="1"/>
        <v>-8.3657357198025542E-2</v>
      </c>
    </row>
    <row r="17" spans="2:4" x14ac:dyDescent="0.3">
      <c r="B17" s="3">
        <f t="shared" ca="1" si="0"/>
        <v>0.01</v>
      </c>
      <c r="C17">
        <f t="array" aca="1" ref="C17:D17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'Application_Part(I)'!B17)</f>
        <v>94.889568485502664</v>
      </c>
      <c r="D17">
        <f ca="1"/>
        <v>-0.11197926500062583</v>
      </c>
    </row>
    <row r="18" spans="2:4" x14ac:dyDescent="0.3">
      <c r="B18" s="3">
        <f t="shared" ca="1" si="0"/>
        <v>1.2500000000000001E-2</v>
      </c>
      <c r="C18">
        <f t="array" aca="1" ref="C18:D18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'Application_Part(I)'!B18)</f>
        <v>93.771830511313524</v>
      </c>
      <c r="D18">
        <f ca="1"/>
        <v>-0.14050080139559973</v>
      </c>
    </row>
    <row r="19" spans="2:4" x14ac:dyDescent="0.3">
      <c r="B19" s="3">
        <f t="shared" ca="1" si="0"/>
        <v>1.5000000000000001E-2</v>
      </c>
      <c r="C19">
        <f t="array" aca="1" ref="C19:D19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'Application_Part(I)'!B19)</f>
        <v>92.667698575770046</v>
      </c>
      <c r="D19">
        <f ca="1"/>
        <v>-0.1692233351695859</v>
      </c>
    </row>
    <row r="20" spans="2:4" x14ac:dyDescent="0.3">
      <c r="B20" s="3">
        <f t="shared" ca="1" si="0"/>
        <v>1.7500000000000002E-2</v>
      </c>
      <c r="C20">
        <f t="array" aca="1" ref="C20:D20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'Application_Part(I)'!B20)</f>
        <v>91.577005404027048</v>
      </c>
      <c r="D20">
        <f ca="1"/>
        <v>-0.19814824175661208</v>
      </c>
    </row>
    <row r="21" spans="2:4" x14ac:dyDescent="0.3">
      <c r="B21" s="3">
        <f t="shared" ca="1" si="0"/>
        <v>0.02</v>
      </c>
      <c r="C21">
        <f t="array" aca="1" ref="C21:D21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'Application_Part(I)'!B21)</f>
        <v>90.499585786287511</v>
      </c>
      <c r="D21">
        <f ca="1"/>
        <v>-0.22727690321096045</v>
      </c>
    </row>
    <row r="22" spans="2:4" x14ac:dyDescent="0.3">
      <c r="B22" s="3">
        <f t="shared" ca="1" si="0"/>
        <v>2.2499999999999999E-2</v>
      </c>
      <c r="C22">
        <f t="array" aca="1" ref="C22:D22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'Application_Part(I)'!B22)</f>
        <v>89.435276552255516</v>
      </c>
      <c r="D22">
        <f ca="1"/>
        <v>-0.25661070818464071</v>
      </c>
    </row>
    <row r="23" spans="2:4" x14ac:dyDescent="0.3">
      <c r="B23" s="3">
        <f t="shared" ca="1" si="0"/>
        <v>2.4999999999999998E-2</v>
      </c>
      <c r="C23">
        <f t="array" aca="1" ref="C23:D23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'Application_Part(I)'!B23)</f>
        <v>88.383916545905663</v>
      </c>
      <c r="D23">
        <f ca="1"/>
        <v>-0.28615105189207463</v>
      </c>
    </row>
    <row r="24" spans="2:4" x14ac:dyDescent="0.3">
      <c r="B24" s="3">
        <f t="shared" ca="1" si="0"/>
        <v>2.7499999999999997E-2</v>
      </c>
      <c r="C24">
        <f t="array" aca="1" ref="C24:D24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'Application_Part(I)'!B24)</f>
        <v>87.345346600564881</v>
      </c>
      <c r="D24">
        <f ca="1"/>
        <v>-0.31589933608034138</v>
      </c>
    </row>
    <row r="25" spans="2:4" x14ac:dyDescent="0.3">
      <c r="B25" s="3">
        <f t="shared" ca="1" si="0"/>
        <v>2.9999999999999995E-2</v>
      </c>
      <c r="C25">
        <f t="array" aca="1" ref="C25:D25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'Application_Part(I)'!B25)</f>
        <v>86.319409514303004</v>
      </c>
      <c r="D25">
        <f ca="1"/>
        <v>-0.34585696900290386</v>
      </c>
    </row>
    <row r="26" spans="2:4" x14ac:dyDescent="0.3">
      <c r="B26" s="3">
        <f t="shared" ca="1" si="0"/>
        <v>3.2499999999999994E-2</v>
      </c>
      <c r="C26">
        <f t="array" aca="1" ref="C26:D26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'Application_Part(I)'!B26)</f>
        <v>85.305950025627993</v>
      </c>
      <c r="D26">
        <f ca="1"/>
        <v>-0.37602536537285774</v>
      </c>
    </row>
    <row r="27" spans="2:4" x14ac:dyDescent="0.3">
      <c r="B27" s="3">
        <f t="shared" ca="1" si="0"/>
        <v>3.4999999999999996E-2</v>
      </c>
      <c r="C27">
        <f t="array" aca="1" ref="C27:D27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'Application_Part(I)'!B27)</f>
        <v>84.304814789482307</v>
      </c>
      <c r="D27">
        <f ca="1"/>
        <v>-0.40640594634446436</v>
      </c>
    </row>
    <row r="28" spans="2:4" x14ac:dyDescent="0.3">
      <c r="B28" s="3">
        <f t="shared" ca="1" si="0"/>
        <v>3.7499999999999999E-2</v>
      </c>
      <c r="C28">
        <f t="array" aca="1" ref="C28:D28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'Application_Part(I)'!B28)</f>
        <v>83.315852353536627</v>
      </c>
      <c r="D28">
        <f ca="1"/>
        <v>-0.43700013945875038</v>
      </c>
    </row>
    <row r="29" spans="2:4" x14ac:dyDescent="0.3">
      <c r="B29" s="3">
        <f t="shared" ca="1" si="0"/>
        <v>0.04</v>
      </c>
      <c r="C29">
        <f t="array" aca="1" ref="C29:D29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'Application_Part(I)'!B29)</f>
        <v>82.338913134776874</v>
      </c>
      <c r="D29">
        <f ca="1"/>
        <v>-0.46780937861736677</v>
      </c>
    </row>
    <row r="30" spans="2:4" x14ac:dyDescent="0.3">
      <c r="B30" s="3">
        <f t="shared" ca="1" si="0"/>
        <v>4.2500000000000003E-2</v>
      </c>
      <c r="C30">
        <f t="array" aca="1" ref="C30:D30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'Application_Part(I)'!B30)</f>
        <v>81.373849396381701</v>
      </c>
      <c r="D30">
        <f ca="1"/>
        <v>-0.4988351040363761</v>
      </c>
    </row>
    <row r="31" spans="2:4" x14ac:dyDescent="0.3">
      <c r="B31" s="3">
        <f t="shared" ca="1" si="0"/>
        <v>4.5000000000000005E-2</v>
      </c>
      <c r="C31">
        <f t="array" aca="1" ref="C31:D31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'Application_Part(I)'!B31)</f>
        <v>80.420515224885833</v>
      </c>
      <c r="D31">
        <f ca="1"/>
        <v>-0.53007876220558081</v>
      </c>
    </row>
    <row r="32" spans="2:4" x14ac:dyDescent="0.3">
      <c r="B32" s="3">
        <f t="shared" ca="1" si="0"/>
        <v>4.7500000000000007E-2</v>
      </c>
      <c r="C32">
        <f t="array" aca="1" ref="C32:D32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'Application_Part(I)'!B32)</f>
        <v>79.478766507626673</v>
      </c>
      <c r="D32">
        <f ca="1"/>
        <v>-0.56154180584574109</v>
      </c>
    </row>
    <row r="33" spans="2:4" x14ac:dyDescent="0.3">
      <c r="B33" s="3">
        <f t="shared" ca="1" si="0"/>
        <v>5.000000000000001E-2</v>
      </c>
      <c r="C33">
        <f t="array" aca="1" ref="C33:D33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'Application_Part(I)'!B33)</f>
        <v>78.548460910469856</v>
      </c>
      <c r="D33">
        <f ca="1"/>
        <v>-0.59322569386071966</v>
      </c>
    </row>
    <row r="34" spans="2:4" x14ac:dyDescent="0.3">
      <c r="B34" s="3">
        <f t="shared" ca="1" si="0"/>
        <v>5.2500000000000012E-2</v>
      </c>
      <c r="C34">
        <f t="array" aca="1" ref="C34:D34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'Application_Part(I)'!B34)</f>
        <v>77.629457855811069</v>
      </c>
      <c r="D34">
        <f ca="1"/>
        <v>-0.62513189129137625</v>
      </c>
    </row>
    <row r="35" spans="2:4" x14ac:dyDescent="0.3">
      <c r="B35" s="3">
        <f t="shared" ca="1" si="0"/>
        <v>5.5000000000000014E-2</v>
      </c>
      <c r="C35">
        <f t="array" aca="1" ref="C35:D35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'Application_Part(I)'!B35)</f>
        <v>76.721618500849928</v>
      </c>
      <c r="D35">
        <f ca="1"/>
        <v>-0.65726186926574093</v>
      </c>
    </row>
    <row r="36" spans="2:4" x14ac:dyDescent="0.3">
      <c r="B36" s="3">
        <f t="shared" ca="1" si="0"/>
        <v>5.7500000000000016E-2</v>
      </c>
      <c r="C36">
        <f t="array" aca="1" ref="C36:D36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'Application_Part(I)'!B36)</f>
        <v>75.824805716133113</v>
      </c>
      <c r="D36">
        <f ca="1"/>
        <v>-0.68961710495351736</v>
      </c>
    </row>
    <row r="37" spans="2:4" x14ac:dyDescent="0.3">
      <c r="B37" s="3">
        <f t="shared" ca="1" si="0"/>
        <v>6.0000000000000019E-2</v>
      </c>
      <c r="C37">
        <f t="array" aca="1" ref="C37:D37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'Application_Part(I)'!B37)</f>
        <v>74.938884064363222</v>
      </c>
      <c r="D37">
        <f ca="1"/>
        <v>-0.72219908150530121</v>
      </c>
    </row>
    <row r="38" spans="2:4" x14ac:dyDescent="0.3">
      <c r="B38" s="3">
        <f t="shared" ca="1" si="0"/>
        <v>6.2500000000000014E-2</v>
      </c>
      <c r="C38">
        <f t="array" aca="1" ref="C38:D38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'Application_Part(I)'!B38)</f>
        <v>74.063719779470105</v>
      </c>
      <c r="D38">
        <f ca="1"/>
        <v>-0.75500928800107137</v>
      </c>
    </row>
    <row r="39" spans="2:4" x14ac:dyDescent="0.3">
      <c r="B39" s="3">
        <f t="shared" ca="1" si="0"/>
        <v>6.5000000000000016E-2</v>
      </c>
      <c r="C39">
        <f t="array" aca="1" ref="C39:D39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'Application_Part(I)'!B39)</f>
        <v>73.199180745941192</v>
      </c>
      <c r="D39">
        <f ca="1"/>
        <v>-0.78804921939509687</v>
      </c>
    </row>
    <row r="40" spans="2:4" x14ac:dyDescent="0.3">
      <c r="B40" s="3">
        <f t="shared" ca="1" si="0"/>
        <v>6.7500000000000018E-2</v>
      </c>
      <c r="C40">
        <f t="array" aca="1" ref="C40:D40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'Application_Part(I)'!B40)</f>
        <v>72.345136478407994</v>
      </c>
      <c r="D40">
        <f ca="1"/>
        <v>-0.82132037646180323</v>
      </c>
    </row>
    <row r="41" spans="2:4" x14ac:dyDescent="0.3">
      <c r="B41" s="3">
        <f t="shared" ca="1" si="0"/>
        <v>7.0000000000000021E-2</v>
      </c>
      <c r="C41">
        <f t="array" aca="1" ref="C41:D41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'Application_Part(I)'!B41)</f>
        <v>71.501458101485326</v>
      </c>
      <c r="D41">
        <f ca="1"/>
        <v>-0.85482426572075565</v>
      </c>
    </row>
    <row r="42" spans="2:4" x14ac:dyDescent="0.3">
      <c r="B42" s="3">
        <f t="shared" ca="1" si="0"/>
        <v>7.2500000000000023E-2</v>
      </c>
      <c r="C42">
        <f t="array" aca="1" ref="C42:D42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'Application_Part(I)'!B42)</f>
        <v>70.668018329860203</v>
      </c>
      <c r="D42">
        <f ca="1"/>
        <v>-0.88856239939326254</v>
      </c>
    </row>
    <row r="43" spans="2:4" x14ac:dyDescent="0.3">
      <c r="B43" s="3">
        <f t="shared" ca="1" si="0"/>
        <v>7.5000000000000025E-2</v>
      </c>
      <c r="C43">
        <f t="array" aca="1" ref="C43:D43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'Application_Part(I)'!B43)</f>
        <v>69.844691448627245</v>
      </c>
      <c r="D43">
        <f ca="1"/>
        <v>-0.92253629532402537</v>
      </c>
    </row>
    <row r="44" spans="2:4" x14ac:dyDescent="0.3">
      <c r="B44" s="3">
        <f t="shared" ca="1" si="0"/>
        <v>7.7500000000000027E-2</v>
      </c>
      <c r="C44">
        <f t="array" aca="1" ref="C44:D44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'Application_Part(I)'!B44)</f>
        <v>69.031353293867738</v>
      </c>
      <c r="D44">
        <f ca="1"/>
        <v>-0.95674747691939532</v>
      </c>
    </row>
    <row r="45" spans="2:4" x14ac:dyDescent="0.3">
      <c r="B45" s="3">
        <f t="shared" ca="1" si="0"/>
        <v>8.0000000000000029E-2</v>
      </c>
      <c r="C45">
        <f t="array" aca="1" ref="C45:D45" ca="1">ShockZSpreadFRNAnalytics(zero_rates,'Application_Part(E)&amp;(F)&amp;(G)'!$B$14,'Application_Part(E)&amp;(F)&amp;(G)'!$B$15, 'Application_Part(E)&amp;(F)&amp;(G)'!$B$13, 'Application_Part(E)&amp;(F)&amp;(G)'!$B$16, 'Application_Part(E)&amp;(F)&amp;(G)'!$B$25, 'Application_Part(I)'!B45)</f>
        <v>68.227881233469006</v>
      </c>
      <c r="D45">
        <f ca="1"/>
        <v>-0.991197473081734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Application_Part(A)&amp;(B)</vt:lpstr>
      <vt:lpstr>Application_Part(C)</vt:lpstr>
      <vt:lpstr>Application_Part(D)</vt:lpstr>
      <vt:lpstr>Application_Part(E)&amp;(F)&amp;(G)</vt:lpstr>
      <vt:lpstr>Application_Part(H)</vt:lpstr>
      <vt:lpstr>Application_Part(I)</vt:lpstr>
      <vt:lpstr>zero_rates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Gye Hyun Baek</dc:creator>
  <cp:lastModifiedBy>Gye Hyun Baek</cp:lastModifiedBy>
  <dcterms:created xsi:type="dcterms:W3CDTF">2015-10-15T20:56:14Z</dcterms:created>
  <dcterms:modified xsi:type="dcterms:W3CDTF">2015-10-16T23:24:08Z</dcterms:modified>
</cp:coreProperties>
</file>