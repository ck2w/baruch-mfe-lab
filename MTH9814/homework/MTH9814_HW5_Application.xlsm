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20115" windowHeight="8775" activeTab="4"/>
  </bookViews>
  <sheets>
    <sheet name="(a)(b)" sheetId="1" r:id="rId1"/>
    <sheet name="(c)" sheetId="2" r:id="rId2"/>
    <sheet name="(d)" sheetId="3" r:id="rId3"/>
    <sheet name="(e)" sheetId="4" r:id="rId4"/>
    <sheet name="(f)" sheetId="5" r:id="rId5"/>
  </sheets>
  <functionGroups builtInGroupCount="17"/>
  <definedNames>
    <definedName name="_q">'(a)(b)'!$C$6</definedName>
    <definedName name="_r">'(a)(b)'!$C$5</definedName>
    <definedName name="_S0">'(a)(b)'!$C$4</definedName>
    <definedName name="_sigma">'(a)(b)'!$C$8</definedName>
    <definedName name="_T">'(a)(b)'!$C$7</definedName>
  </definedNames>
  <calcPr calcId="144525" calcOnSave="0"/>
</workbook>
</file>

<file path=xl/calcChain.xml><?xml version="1.0" encoding="utf-8"?>
<calcChain xmlns="http://schemas.openxmlformats.org/spreadsheetml/2006/main">
  <c r="D4" i="3" l="1"/>
  <c r="F4" i="2"/>
  <c r="C7" i="3" a="1"/>
  <c r="E4" i="3"/>
  <c r="F4" i="4"/>
  <c r="C9" i="4" a="1"/>
  <c r="C9" i="4" l="1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69" i="4"/>
  <c r="C73" i="4"/>
  <c r="C77" i="4"/>
  <c r="C81" i="4"/>
  <c r="C85" i="4"/>
  <c r="C89" i="4"/>
  <c r="C93" i="4"/>
  <c r="C97" i="4"/>
  <c r="C101" i="4"/>
  <c r="C105" i="4"/>
  <c r="C109" i="4"/>
  <c r="C113" i="4"/>
  <c r="C117" i="4"/>
  <c r="C121" i="4"/>
  <c r="C125" i="4"/>
  <c r="C129" i="4"/>
  <c r="C133" i="4"/>
  <c r="C137" i="4"/>
  <c r="C141" i="4"/>
  <c r="C145" i="4"/>
  <c r="C149" i="4"/>
  <c r="C153" i="4"/>
  <c r="C157" i="4"/>
  <c r="C161" i="4"/>
  <c r="C165" i="4"/>
  <c r="C169" i="4"/>
  <c r="C173" i="4"/>
  <c r="C177" i="4"/>
  <c r="C181" i="4"/>
  <c r="C185" i="4"/>
  <c r="C189" i="4"/>
  <c r="C193" i="4"/>
  <c r="C197" i="4"/>
  <c r="C201" i="4"/>
  <c r="C205" i="4"/>
  <c r="C209" i="4"/>
  <c r="C213" i="4"/>
  <c r="C217" i="4"/>
  <c r="C221" i="4"/>
  <c r="C225" i="4"/>
  <c r="C229" i="4"/>
  <c r="C233" i="4"/>
  <c r="C237" i="4"/>
  <c r="C241" i="4"/>
  <c r="C245" i="4"/>
  <c r="C249" i="4"/>
  <c r="C253" i="4"/>
  <c r="C257" i="4"/>
  <c r="C261" i="4"/>
  <c r="C265" i="4"/>
  <c r="C269" i="4"/>
  <c r="C273" i="4"/>
  <c r="C277" i="4"/>
  <c r="C281" i="4"/>
  <c r="C285" i="4"/>
  <c r="C289" i="4"/>
  <c r="C293" i="4"/>
  <c r="C297" i="4"/>
  <c r="C301" i="4"/>
  <c r="C305" i="4"/>
  <c r="C309" i="4"/>
  <c r="C313" i="4"/>
  <c r="C317" i="4"/>
  <c r="C321" i="4"/>
  <c r="C325" i="4"/>
  <c r="C329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C142" i="4"/>
  <c r="C146" i="4"/>
  <c r="C150" i="4"/>
  <c r="C154" i="4"/>
  <c r="C158" i="4"/>
  <c r="C162" i="4"/>
  <c r="C166" i="4"/>
  <c r="C170" i="4"/>
  <c r="C174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C143" i="4"/>
  <c r="C147" i="4"/>
  <c r="C151" i="4"/>
  <c r="C155" i="4"/>
  <c r="C159" i="4"/>
  <c r="C163" i="4"/>
  <c r="C167" i="4"/>
  <c r="C171" i="4"/>
  <c r="C175" i="4"/>
  <c r="C179" i="4"/>
  <c r="C183" i="4"/>
  <c r="C187" i="4"/>
  <c r="C191" i="4"/>
  <c r="C195" i="4"/>
  <c r="C199" i="4"/>
  <c r="C203" i="4"/>
  <c r="C207" i="4"/>
  <c r="C211" i="4"/>
  <c r="C215" i="4"/>
  <c r="C219" i="4"/>
  <c r="C223" i="4"/>
  <c r="C227" i="4"/>
  <c r="C231" i="4"/>
  <c r="C235" i="4"/>
  <c r="C239" i="4"/>
  <c r="C243" i="4"/>
  <c r="C247" i="4"/>
  <c r="C251" i="4"/>
  <c r="C255" i="4"/>
  <c r="C259" i="4"/>
  <c r="C263" i="4"/>
  <c r="C267" i="4"/>
  <c r="C271" i="4"/>
  <c r="C275" i="4"/>
  <c r="C279" i="4"/>
  <c r="C283" i="4"/>
  <c r="C287" i="4"/>
  <c r="C291" i="4"/>
  <c r="C295" i="4"/>
  <c r="C299" i="4"/>
  <c r="C303" i="4"/>
  <c r="C307" i="4"/>
  <c r="C311" i="4"/>
  <c r="C315" i="4"/>
  <c r="C319" i="4"/>
  <c r="C323" i="4"/>
  <c r="C327" i="4"/>
  <c r="C331" i="4"/>
  <c r="C335" i="4"/>
  <c r="C339" i="4"/>
  <c r="C343" i="4"/>
  <c r="C347" i="4"/>
  <c r="C12" i="4"/>
  <c r="C28" i="4"/>
  <c r="C44" i="4"/>
  <c r="C60" i="4"/>
  <c r="C76" i="4"/>
  <c r="C92" i="4"/>
  <c r="C108" i="4"/>
  <c r="C124" i="4"/>
  <c r="C140" i="4"/>
  <c r="C156" i="4"/>
  <c r="C172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C294" i="4"/>
  <c r="C302" i="4"/>
  <c r="C310" i="4"/>
  <c r="C318" i="4"/>
  <c r="C326" i="4"/>
  <c r="C333" i="4"/>
  <c r="C338" i="4"/>
  <c r="C344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434" i="4"/>
  <c r="C446" i="4"/>
  <c r="C454" i="4"/>
  <c r="C458" i="4"/>
  <c r="C466" i="4"/>
  <c r="C470" i="4"/>
  <c r="C478" i="4"/>
  <c r="C482" i="4"/>
  <c r="C490" i="4"/>
  <c r="C494" i="4"/>
  <c r="C498" i="4"/>
  <c r="C506" i="4"/>
  <c r="C16" i="4"/>
  <c r="C32" i="4"/>
  <c r="C48" i="4"/>
  <c r="C64" i="4"/>
  <c r="C80" i="4"/>
  <c r="C96" i="4"/>
  <c r="C112" i="4"/>
  <c r="C128" i="4"/>
  <c r="C144" i="4"/>
  <c r="C160" i="4"/>
  <c r="C176" i="4"/>
  <c r="C184" i="4"/>
  <c r="C192" i="4"/>
  <c r="C200" i="4"/>
  <c r="C208" i="4"/>
  <c r="C216" i="4"/>
  <c r="C224" i="4"/>
  <c r="C232" i="4"/>
  <c r="C240" i="4"/>
  <c r="C248" i="4"/>
  <c r="C256" i="4"/>
  <c r="C264" i="4"/>
  <c r="C272" i="4"/>
  <c r="C280" i="4"/>
  <c r="C288" i="4"/>
  <c r="C296" i="4"/>
  <c r="C304" i="4"/>
  <c r="C312" i="4"/>
  <c r="C320" i="4"/>
  <c r="C328" i="4"/>
  <c r="C334" i="4"/>
  <c r="C340" i="4"/>
  <c r="C345" i="4"/>
  <c r="C350" i="4"/>
  <c r="C354" i="4"/>
  <c r="C358" i="4"/>
  <c r="C362" i="4"/>
  <c r="C366" i="4"/>
  <c r="C370" i="4"/>
  <c r="C374" i="4"/>
  <c r="C378" i="4"/>
  <c r="C382" i="4"/>
  <c r="C386" i="4"/>
  <c r="C390" i="4"/>
  <c r="C394" i="4"/>
  <c r="C398" i="4"/>
  <c r="C402" i="4"/>
  <c r="C406" i="4"/>
  <c r="C410" i="4"/>
  <c r="C414" i="4"/>
  <c r="C418" i="4"/>
  <c r="C422" i="4"/>
  <c r="C426" i="4"/>
  <c r="C430" i="4"/>
  <c r="C438" i="4"/>
  <c r="C442" i="4"/>
  <c r="C450" i="4"/>
  <c r="C462" i="4"/>
  <c r="C474" i="4"/>
  <c r="C486" i="4"/>
  <c r="C502" i="4"/>
  <c r="C20" i="4"/>
  <c r="C36" i="4"/>
  <c r="C52" i="4"/>
  <c r="C68" i="4"/>
  <c r="C84" i="4"/>
  <c r="C100" i="4"/>
  <c r="C116" i="4"/>
  <c r="C132" i="4"/>
  <c r="C148" i="4"/>
  <c r="C164" i="4"/>
  <c r="C178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8" i="4"/>
  <c r="C306" i="4"/>
  <c r="C314" i="4"/>
  <c r="C322" i="4"/>
  <c r="C330" i="4"/>
  <c r="C336" i="4"/>
  <c r="C341" i="4"/>
  <c r="C346" i="4"/>
  <c r="C351" i="4"/>
  <c r="C355" i="4"/>
  <c r="C359" i="4"/>
  <c r="C363" i="4"/>
  <c r="C367" i="4"/>
  <c r="C371" i="4"/>
  <c r="C375" i="4"/>
  <c r="C379" i="4"/>
  <c r="C383" i="4"/>
  <c r="C387" i="4"/>
  <c r="C391" i="4"/>
  <c r="C395" i="4"/>
  <c r="C399" i="4"/>
  <c r="C403" i="4"/>
  <c r="C407" i="4"/>
  <c r="C411" i="4"/>
  <c r="C415" i="4"/>
  <c r="C419" i="4"/>
  <c r="C423" i="4"/>
  <c r="C427" i="4"/>
  <c r="C431" i="4"/>
  <c r="C435" i="4"/>
  <c r="C439" i="4"/>
  <c r="C443" i="4"/>
  <c r="C447" i="4"/>
  <c r="C451" i="4"/>
  <c r="C455" i="4"/>
  <c r="C459" i="4"/>
  <c r="C463" i="4"/>
  <c r="C467" i="4"/>
  <c r="C471" i="4"/>
  <c r="C475" i="4"/>
  <c r="C24" i="4"/>
  <c r="C40" i="4"/>
  <c r="C56" i="4"/>
  <c r="C72" i="4"/>
  <c r="C88" i="4"/>
  <c r="C104" i="4"/>
  <c r="C120" i="4"/>
  <c r="C136" i="4"/>
  <c r="C152" i="4"/>
  <c r="C168" i="4"/>
  <c r="C180" i="4"/>
  <c r="C188" i="4"/>
  <c r="C196" i="4"/>
  <c r="C204" i="4"/>
  <c r="C212" i="4"/>
  <c r="C220" i="4"/>
  <c r="C228" i="4"/>
  <c r="C236" i="4"/>
  <c r="C244" i="4"/>
  <c r="C252" i="4"/>
  <c r="C260" i="4"/>
  <c r="C268" i="4"/>
  <c r="C276" i="4"/>
  <c r="C284" i="4"/>
  <c r="C292" i="4"/>
  <c r="C300" i="4"/>
  <c r="C308" i="4"/>
  <c r="C316" i="4"/>
  <c r="C324" i="4"/>
  <c r="C332" i="4"/>
  <c r="C337" i="4"/>
  <c r="C342" i="4"/>
  <c r="C348" i="4"/>
  <c r="C352" i="4"/>
  <c r="C356" i="4"/>
  <c r="C360" i="4"/>
  <c r="C364" i="4"/>
  <c r="C368" i="4"/>
  <c r="C372" i="4"/>
  <c r="C376" i="4"/>
  <c r="C384" i="4"/>
  <c r="C400" i="4"/>
  <c r="C416" i="4"/>
  <c r="C432" i="4"/>
  <c r="C448" i="4"/>
  <c r="C464" i="4"/>
  <c r="C479" i="4"/>
  <c r="C487" i="4"/>
  <c r="C495" i="4"/>
  <c r="C503" i="4"/>
  <c r="C388" i="4"/>
  <c r="C404" i="4"/>
  <c r="C420" i="4"/>
  <c r="C436" i="4"/>
  <c r="C452" i="4"/>
  <c r="C468" i="4"/>
  <c r="C480" i="4"/>
  <c r="C488" i="4"/>
  <c r="C496" i="4"/>
  <c r="C504" i="4"/>
  <c r="C392" i="4"/>
  <c r="C408" i="4"/>
  <c r="C424" i="4"/>
  <c r="C440" i="4"/>
  <c r="C456" i="4"/>
  <c r="C472" i="4"/>
  <c r="C483" i="4"/>
  <c r="C491" i="4"/>
  <c r="C499" i="4"/>
  <c r="C507" i="4"/>
  <c r="C380" i="4"/>
  <c r="C396" i="4"/>
  <c r="C412" i="4"/>
  <c r="C428" i="4"/>
  <c r="C444" i="4"/>
  <c r="C460" i="4"/>
  <c r="C476" i="4"/>
  <c r="C484" i="4"/>
  <c r="C492" i="4"/>
  <c r="C500" i="4"/>
  <c r="C508" i="4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32" i="3"/>
  <c r="C347" i="3"/>
  <c r="C352" i="3"/>
  <c r="C357" i="3"/>
  <c r="C363" i="3"/>
  <c r="C368" i="3"/>
  <c r="C373" i="3"/>
  <c r="C379" i="3"/>
  <c r="C384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336" i="3"/>
  <c r="C348" i="3"/>
  <c r="C353" i="3"/>
  <c r="C359" i="3"/>
  <c r="C364" i="3"/>
  <c r="C369" i="3"/>
  <c r="C375" i="3"/>
  <c r="C380" i="3"/>
  <c r="C385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479" i="3"/>
  <c r="C487" i="3"/>
  <c r="C495" i="3"/>
  <c r="C503" i="3"/>
  <c r="C340" i="3"/>
  <c r="C349" i="3"/>
  <c r="C355" i="3"/>
  <c r="C360" i="3"/>
  <c r="C365" i="3"/>
  <c r="C371" i="3"/>
  <c r="C376" i="3"/>
  <c r="C381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83" i="3"/>
  <c r="C491" i="3"/>
  <c r="C499" i="3"/>
  <c r="C344" i="3"/>
  <c r="C351" i="3"/>
  <c r="C356" i="3"/>
  <c r="C361" i="3"/>
  <c r="C367" i="3"/>
  <c r="C372" i="3"/>
  <c r="C377" i="3"/>
  <c r="C383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E4" i="2"/>
  <c r="D21" i="1"/>
  <c r="D20" i="1"/>
  <c r="D19" i="1"/>
  <c r="D18" i="1"/>
  <c r="D17" i="1"/>
  <c r="D16" i="1"/>
  <c r="G7" i="1"/>
  <c r="G6" i="1"/>
  <c r="G5" i="1"/>
  <c r="E18" i="1"/>
  <c r="E17" i="1"/>
  <c r="J16" i="1"/>
  <c r="J21" i="1"/>
  <c r="I19" i="1"/>
  <c r="H17" i="1"/>
  <c r="I16" i="1"/>
  <c r="G19" i="1"/>
  <c r="I18" i="1"/>
  <c r="F21" i="1"/>
  <c r="F18" i="1"/>
  <c r="I7" i="1"/>
  <c r="H6" i="1"/>
  <c r="E21" i="1"/>
  <c r="J19" i="1"/>
  <c r="K16" i="1"/>
  <c r="H16" i="1"/>
  <c r="H20" i="1"/>
  <c r="K18" i="1"/>
  <c r="G18" i="1"/>
  <c r="K19" i="1"/>
  <c r="H19" i="1"/>
  <c r="J7" i="1"/>
  <c r="I6" i="1"/>
  <c r="H5" i="1"/>
  <c r="E19" i="1"/>
  <c r="J18" i="1"/>
  <c r="G17" i="1"/>
  <c r="I20" i="1"/>
  <c r="K20" i="1"/>
  <c r="J6" i="1"/>
  <c r="E20" i="1"/>
  <c r="G20" i="1"/>
  <c r="K21" i="1"/>
  <c r="F20" i="1"/>
  <c r="H7" i="1"/>
  <c r="F17" i="1"/>
  <c r="I17" i="1"/>
  <c r="F19" i="1"/>
  <c r="J17" i="1"/>
  <c r="H18" i="1"/>
  <c r="F16" i="1"/>
  <c r="C10" i="2" a="1"/>
  <c r="G16" i="1"/>
  <c r="G21" i="1"/>
  <c r="J20" i="1"/>
  <c r="I5" i="1"/>
  <c r="E16" i="1"/>
  <c r="K17" i="1"/>
  <c r="H21" i="1"/>
  <c r="I21" i="1"/>
  <c r="J5" i="1"/>
  <c r="C10" i="2" l="1"/>
  <c r="C14" i="2"/>
  <c r="C18" i="2"/>
  <c r="C22" i="2"/>
  <c r="C26" i="2"/>
  <c r="C30" i="2"/>
  <c r="C34" i="2"/>
  <c r="C38" i="2"/>
  <c r="C42" i="2"/>
  <c r="C46" i="2"/>
  <c r="C50" i="2"/>
  <c r="C54" i="2"/>
  <c r="C58" i="2"/>
  <c r="C62" i="2"/>
  <c r="C66" i="2"/>
  <c r="C70" i="2"/>
  <c r="C74" i="2"/>
  <c r="C78" i="2"/>
  <c r="C82" i="2"/>
  <c r="C86" i="2"/>
  <c r="C90" i="2"/>
  <c r="C94" i="2"/>
  <c r="C98" i="2"/>
  <c r="C102" i="2"/>
  <c r="C106" i="2"/>
  <c r="C110" i="2"/>
  <c r="C114" i="2"/>
  <c r="C118" i="2"/>
  <c r="C122" i="2"/>
  <c r="C126" i="2"/>
  <c r="C130" i="2"/>
  <c r="C134" i="2"/>
  <c r="C138" i="2"/>
  <c r="C142" i="2"/>
  <c r="C146" i="2"/>
  <c r="C150" i="2"/>
  <c r="C154" i="2"/>
  <c r="C158" i="2"/>
  <c r="C162" i="2"/>
  <c r="C166" i="2"/>
  <c r="C170" i="2"/>
  <c r="C174" i="2"/>
  <c r="C178" i="2"/>
  <c r="C182" i="2"/>
  <c r="C186" i="2"/>
  <c r="C190" i="2"/>
  <c r="C194" i="2"/>
  <c r="C198" i="2"/>
  <c r="C202" i="2"/>
  <c r="C206" i="2"/>
  <c r="C210" i="2"/>
  <c r="C214" i="2"/>
  <c r="C218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2" i="2"/>
  <c r="C336" i="2"/>
  <c r="C340" i="2"/>
  <c r="C344" i="2"/>
  <c r="C348" i="2"/>
  <c r="C13" i="2"/>
  <c r="C29" i="2"/>
  <c r="C45" i="2"/>
  <c r="C61" i="2"/>
  <c r="C77" i="2"/>
  <c r="C93" i="2"/>
  <c r="C109" i="2"/>
  <c r="C125" i="2"/>
  <c r="C141" i="2"/>
  <c r="C157" i="2"/>
  <c r="C173" i="2"/>
  <c r="C189" i="2"/>
  <c r="C205" i="2"/>
  <c r="C221" i="2"/>
  <c r="C226" i="2"/>
  <c r="C231" i="2"/>
  <c r="C237" i="2"/>
  <c r="C242" i="2"/>
  <c r="C247" i="2"/>
  <c r="C253" i="2"/>
  <c r="C258" i="2"/>
  <c r="C263" i="2"/>
  <c r="C269" i="2"/>
  <c r="C274" i="2"/>
  <c r="C279" i="2"/>
  <c r="C285" i="2"/>
  <c r="C290" i="2"/>
  <c r="C295" i="2"/>
  <c r="C301" i="2"/>
  <c r="C306" i="2"/>
  <c r="C311" i="2"/>
  <c r="C317" i="2"/>
  <c r="C322" i="2"/>
  <c r="C327" i="2"/>
  <c r="C333" i="2"/>
  <c r="C338" i="2"/>
  <c r="C343" i="2"/>
  <c r="C349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418" i="2"/>
  <c r="C426" i="2"/>
  <c r="C434" i="2"/>
  <c r="C438" i="2"/>
  <c r="C446" i="2"/>
  <c r="C450" i="2"/>
  <c r="C454" i="2"/>
  <c r="C17" i="2"/>
  <c r="C33" i="2"/>
  <c r="C49" i="2"/>
  <c r="C65" i="2"/>
  <c r="C81" i="2"/>
  <c r="C97" i="2"/>
  <c r="C113" i="2"/>
  <c r="C129" i="2"/>
  <c r="C145" i="2"/>
  <c r="C161" i="2"/>
  <c r="C177" i="2"/>
  <c r="C193" i="2"/>
  <c r="C209" i="2"/>
  <c r="C222" i="2"/>
  <c r="C227" i="2"/>
  <c r="C233" i="2"/>
  <c r="C238" i="2"/>
  <c r="C243" i="2"/>
  <c r="C249" i="2"/>
  <c r="C254" i="2"/>
  <c r="C259" i="2"/>
  <c r="C265" i="2"/>
  <c r="C270" i="2"/>
  <c r="C275" i="2"/>
  <c r="C281" i="2"/>
  <c r="C286" i="2"/>
  <c r="C291" i="2"/>
  <c r="C297" i="2"/>
  <c r="C302" i="2"/>
  <c r="C307" i="2"/>
  <c r="C313" i="2"/>
  <c r="C318" i="2"/>
  <c r="C323" i="2"/>
  <c r="C329" i="2"/>
  <c r="C334" i="2"/>
  <c r="C339" i="2"/>
  <c r="C345" i="2"/>
  <c r="C350" i="2"/>
  <c r="C354" i="2"/>
  <c r="C358" i="2"/>
  <c r="C362" i="2"/>
  <c r="C366" i="2"/>
  <c r="C370" i="2"/>
  <c r="C374" i="2"/>
  <c r="C378" i="2"/>
  <c r="C382" i="2"/>
  <c r="C386" i="2"/>
  <c r="C390" i="2"/>
  <c r="C394" i="2"/>
  <c r="C398" i="2"/>
  <c r="C402" i="2"/>
  <c r="C406" i="2"/>
  <c r="C410" i="2"/>
  <c r="C414" i="2"/>
  <c r="C422" i="2"/>
  <c r="C430" i="2"/>
  <c r="C442" i="2"/>
  <c r="C458" i="2"/>
  <c r="C21" i="2"/>
  <c r="C37" i="2"/>
  <c r="C53" i="2"/>
  <c r="C69" i="2"/>
  <c r="C85" i="2"/>
  <c r="C101" i="2"/>
  <c r="C117" i="2"/>
  <c r="C133" i="2"/>
  <c r="C149" i="2"/>
  <c r="C165" i="2"/>
  <c r="C181" i="2"/>
  <c r="C197" i="2"/>
  <c r="C213" i="2"/>
  <c r="C223" i="2"/>
  <c r="C229" i="2"/>
  <c r="C234" i="2"/>
  <c r="C239" i="2"/>
  <c r="C245" i="2"/>
  <c r="C250" i="2"/>
  <c r="C255" i="2"/>
  <c r="C261" i="2"/>
  <c r="C266" i="2"/>
  <c r="C271" i="2"/>
  <c r="C277" i="2"/>
  <c r="C282" i="2"/>
  <c r="C287" i="2"/>
  <c r="C293" i="2"/>
  <c r="C298" i="2"/>
  <c r="C303" i="2"/>
  <c r="C309" i="2"/>
  <c r="C314" i="2"/>
  <c r="C319" i="2"/>
  <c r="C325" i="2"/>
  <c r="C330" i="2"/>
  <c r="C335" i="2"/>
  <c r="C341" i="2"/>
  <c r="C346" i="2"/>
  <c r="C351" i="2"/>
  <c r="C355" i="2"/>
  <c r="C359" i="2"/>
  <c r="C363" i="2"/>
  <c r="C367" i="2"/>
  <c r="C371" i="2"/>
  <c r="C375" i="2"/>
  <c r="C379" i="2"/>
  <c r="C383" i="2"/>
  <c r="C387" i="2"/>
  <c r="C391" i="2"/>
  <c r="C395" i="2"/>
  <c r="C399" i="2"/>
  <c r="C403" i="2"/>
  <c r="C407" i="2"/>
  <c r="C411" i="2"/>
  <c r="C415" i="2"/>
  <c r="C419" i="2"/>
  <c r="C423" i="2"/>
  <c r="C427" i="2"/>
  <c r="C431" i="2"/>
  <c r="C435" i="2"/>
  <c r="C25" i="2"/>
  <c r="C41" i="2"/>
  <c r="C57" i="2"/>
  <c r="C73" i="2"/>
  <c r="C89" i="2"/>
  <c r="C105" i="2"/>
  <c r="C121" i="2"/>
  <c r="C137" i="2"/>
  <c r="C153" i="2"/>
  <c r="C169" i="2"/>
  <c r="C185" i="2"/>
  <c r="C201" i="2"/>
  <c r="C217" i="2"/>
  <c r="C225" i="2"/>
  <c r="C230" i="2"/>
  <c r="C235" i="2"/>
  <c r="C241" i="2"/>
  <c r="C246" i="2"/>
  <c r="C251" i="2"/>
  <c r="C257" i="2"/>
  <c r="C262" i="2"/>
  <c r="C267" i="2"/>
  <c r="C273" i="2"/>
  <c r="C278" i="2"/>
  <c r="C283" i="2"/>
  <c r="C289" i="2"/>
  <c r="C294" i="2"/>
  <c r="C299" i="2"/>
  <c r="C305" i="2"/>
  <c r="C310" i="2"/>
  <c r="C315" i="2"/>
  <c r="C321" i="2"/>
  <c r="C326" i="2"/>
  <c r="C331" i="2"/>
  <c r="C337" i="2"/>
  <c r="C342" i="2"/>
  <c r="C347" i="2"/>
  <c r="C352" i="2"/>
  <c r="C356" i="2"/>
  <c r="C360" i="2"/>
  <c r="C364" i="2"/>
  <c r="C368" i="2"/>
  <c r="C372" i="2"/>
  <c r="C376" i="2"/>
  <c r="C380" i="2"/>
  <c r="C384" i="2"/>
  <c r="C388" i="2"/>
  <c r="C392" i="2"/>
  <c r="C396" i="2"/>
  <c r="C400" i="2"/>
  <c r="C404" i="2"/>
  <c r="C408" i="2"/>
  <c r="C424" i="2"/>
  <c r="C439" i="2"/>
  <c r="C447" i="2"/>
  <c r="C455" i="2"/>
  <c r="C462" i="2"/>
  <c r="C467" i="2"/>
  <c r="C472" i="2"/>
  <c r="C478" i="2"/>
  <c r="C483" i="2"/>
  <c r="C488" i="2"/>
  <c r="C494" i="2"/>
  <c r="C499" i="2"/>
  <c r="C504" i="2"/>
  <c r="C487" i="2"/>
  <c r="C508" i="2"/>
  <c r="C412" i="2"/>
  <c r="C428" i="2"/>
  <c r="C440" i="2"/>
  <c r="C448" i="2"/>
  <c r="C456" i="2"/>
  <c r="C463" i="2"/>
  <c r="C468" i="2"/>
  <c r="C474" i="2"/>
  <c r="C479" i="2"/>
  <c r="C484" i="2"/>
  <c r="C490" i="2"/>
  <c r="C495" i="2"/>
  <c r="C500" i="2"/>
  <c r="C506" i="2"/>
  <c r="C507" i="2"/>
  <c r="C444" i="2"/>
  <c r="C460" i="2"/>
  <c r="C476" i="2"/>
  <c r="C498" i="2"/>
  <c r="C416" i="2"/>
  <c r="C432" i="2"/>
  <c r="C443" i="2"/>
  <c r="C451" i="2"/>
  <c r="C459" i="2"/>
  <c r="C464" i="2"/>
  <c r="C470" i="2"/>
  <c r="C475" i="2"/>
  <c r="C480" i="2"/>
  <c r="C486" i="2"/>
  <c r="C491" i="2"/>
  <c r="C496" i="2"/>
  <c r="C502" i="2"/>
  <c r="C436" i="2"/>
  <c r="C466" i="2"/>
  <c r="C482" i="2"/>
  <c r="C503" i="2"/>
  <c r="C420" i="2"/>
  <c r="C452" i="2"/>
  <c r="C471" i="2"/>
  <c r="C492" i="2"/>
  <c r="N13" i="1" a="1"/>
  <c r="P13" i="1" a="1"/>
  <c r="O17" i="1"/>
  <c r="O15" i="1"/>
  <c r="O14" i="1"/>
  <c r="O18" i="1"/>
  <c r="O13" i="1"/>
  <c r="O16" i="1"/>
  <c r="Q14" i="1"/>
  <c r="Q18" i="1"/>
  <c r="Q15" i="1"/>
  <c r="Q13" i="1"/>
  <c r="Q16" i="1"/>
  <c r="Q17" i="1"/>
  <c r="P14" i="1" l="1"/>
  <c r="P18" i="1"/>
  <c r="P15" i="1"/>
  <c r="P16" i="1"/>
  <c r="P13" i="1"/>
  <c r="P17" i="1"/>
  <c r="N13" i="1"/>
  <c r="N17" i="1"/>
  <c r="N14" i="1"/>
  <c r="N18" i="1"/>
  <c r="N15" i="1"/>
  <c r="N16" i="1"/>
</calcChain>
</file>

<file path=xl/sharedStrings.xml><?xml version="1.0" encoding="utf-8"?>
<sst xmlns="http://schemas.openxmlformats.org/spreadsheetml/2006/main" count="70" uniqueCount="43">
  <si>
    <t>S0</t>
  </si>
  <si>
    <t>r</t>
  </si>
  <si>
    <t>q</t>
  </si>
  <si>
    <t>T</t>
  </si>
  <si>
    <t>sigma</t>
  </si>
  <si>
    <t>Application (a)</t>
  </si>
  <si>
    <t>ATM</t>
  </si>
  <si>
    <t>10% ITM</t>
  </si>
  <si>
    <t>10% OTM</t>
  </si>
  <si>
    <t>K</t>
  </si>
  <si>
    <t>steps</t>
  </si>
  <si>
    <t>Theoretical</t>
  </si>
  <si>
    <t>conclusion: the theoretical prices of forward contracts perfect match the binomial tree pricer</t>
  </si>
  <si>
    <t>Application (b)</t>
  </si>
  <si>
    <t>Press F9 to update all the cells.</t>
  </si>
  <si>
    <t>European Call</t>
  </si>
  <si>
    <t>European Put</t>
  </si>
  <si>
    <t>Application (c)</t>
  </si>
  <si>
    <t>theoretical</t>
  </si>
  <si>
    <t>ATM euro put</t>
  </si>
  <si>
    <t>ATM euro call</t>
  </si>
  <si>
    <t>We can see as the steps go larger, the binomial tree price would converge to the theoretical one.</t>
  </si>
  <si>
    <t>step</t>
  </si>
  <si>
    <t>125</t>
  </si>
  <si>
    <t>Two charts about the convergence of ATM euro options to their theoretical BS value, are showed on the right</t>
  </si>
  <si>
    <t>For American Put</t>
  </si>
  <si>
    <t>upper bound price for early exercise</t>
  </si>
  <si>
    <t>The below chart shows the upper bound price for early exercise.</t>
  </si>
  <si>
    <t>Application d</t>
  </si>
  <si>
    <t>for American Call</t>
  </si>
  <si>
    <t>lower bound price for early exercise</t>
  </si>
  <si>
    <t>The below chart shows the lower bound price for early exercise.</t>
  </si>
  <si>
    <t>Same as before, the below chart shows the lower bound price for early exercise.</t>
  </si>
  <si>
    <t>If the bounded price is zero, it means it is never optimal to exercise the option at that step.</t>
  </si>
  <si>
    <t>American Call</t>
  </si>
  <si>
    <t>(f)</t>
  </si>
  <si>
    <t>Reference:</t>
  </si>
  <si>
    <t>http://www.math.nus.edu.sg/~matdm/ma4257/chapter3.pdf</t>
  </si>
  <si>
    <t>Take an American put for example. First we give definitions of Stopping Region E (or, Exercise Region) and Holding Region H (or, Continuous Region) :</t>
  </si>
  <si>
    <t xml:space="preserve">The answer is no. Test of several extreme examples all show only one early exercise region. </t>
  </si>
  <si>
    <t>Therefore we know:</t>
  </si>
  <si>
    <t xml:space="preserve">We can see (and also prove): </t>
  </si>
  <si>
    <t>So, there is only one early exercise region.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</si>
</sst>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'(a)(b)'!$N$12</c:f>
              <c:strCache>
                <c:ptCount val="1"/>
                <c:pt idx="0">
                  <c:v>ATM euro call</c:v>
                </c:pt>
              </c:strCache>
            </c:strRef>
          </c:tx>
          <c:cat>
            <c:strRef>
              <c:f>'(a)(b)'!$M$13:$M$18</c:f>
              <c:strCache>
                <c:ptCount val="6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4000</c:v>
                </c:pt>
              </c:strCache>
            </c:strRef>
          </c:cat>
          <c:val>
            <c:numRef>
              <c:f>'(a)(b)'!$N$13:$N$18</c:f>
              <c:numCache>
                <c:formatCode>General</c:formatCode>
                <c:ptCount val="6"/>
                <c:pt idx="0">
                  <c:v>8.6089028980403164</c:v>
                </c:pt>
                <c:pt idx="1">
                  <c:v>8.6088410799290056</c:v>
                </c:pt>
                <c:pt idx="2">
                  <c:v>8.6088674714616182</c:v>
                </c:pt>
                <c:pt idx="3">
                  <c:v>8.6088783342634372</c:v>
                </c:pt>
                <c:pt idx="4">
                  <c:v>8.6088831803651793</c:v>
                </c:pt>
                <c:pt idx="5">
                  <c:v>8.6088854568274531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'(a)(b)'!$O$12</c:f>
              <c:strCache>
                <c:ptCount val="1"/>
                <c:pt idx="0">
                  <c:v>theoretical</c:v>
                </c:pt>
              </c:strCache>
            </c:strRef>
          </c:tx>
          <c:cat>
            <c:strRef>
              <c:f>'(a)(b)'!$M$13:$M$18</c:f>
              <c:strCache>
                <c:ptCount val="6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4000</c:v>
                </c:pt>
              </c:strCache>
            </c:strRef>
          </c:cat>
          <c:val>
            <c:numRef>
              <c:f>'(a)(b)'!$O$13:$O$18</c:f>
              <c:numCache>
                <c:formatCode>General</c:formatCode>
                <c:ptCount val="6"/>
                <c:pt idx="0">
                  <c:v>8.6088876354855302</c:v>
                </c:pt>
                <c:pt idx="1">
                  <c:v>8.6088876354855302</c:v>
                </c:pt>
                <c:pt idx="2">
                  <c:v>8.6088876354855302</c:v>
                </c:pt>
                <c:pt idx="3">
                  <c:v>8.6088876354855302</c:v>
                </c:pt>
                <c:pt idx="4">
                  <c:v>8.6088876354855302</c:v>
                </c:pt>
                <c:pt idx="5">
                  <c:v>8.6088876354855302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96960"/>
        <c:axId val="173502848"/>
      </c:lineChart>
      <c:catAx>
        <c:axId val="17349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02848"/>
        <c:crosses val="autoZero"/>
        <c:auto val="1"/>
        <c:lblAlgn val="ctr"/>
        <c:lblOffset val="100"/>
        <c:noMultiLvlLbl val="0"/>
      </c:catAx>
      <c:valAx>
        <c:axId val="17350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496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'(a)(b)'!$P$12</c:f>
              <c:strCache>
                <c:ptCount val="1"/>
                <c:pt idx="0">
                  <c:v>ATM euro put</c:v>
                </c:pt>
              </c:strCache>
            </c:strRef>
          </c:tx>
          <c:cat>
            <c:strRef>
              <c:f>'(a)(b)'!$M$13:$M$18</c:f>
              <c:strCache>
                <c:ptCount val="6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4000</c:v>
                </c:pt>
              </c:strCache>
            </c:strRef>
          </c:cat>
          <c:val>
            <c:numRef>
              <c:f>'(a)(b)'!$P$13:$P$18</c:f>
              <c:numCache>
                <c:formatCode>General</c:formatCode>
                <c:ptCount val="6"/>
                <c:pt idx="0">
                  <c:v>8.2350727248511042</c:v>
                </c:pt>
                <c:pt idx="1">
                  <c:v>8.235010906739042</c:v>
                </c:pt>
                <c:pt idx="2">
                  <c:v>8.2350372982732054</c:v>
                </c:pt>
                <c:pt idx="3">
                  <c:v>8.2350481610733155</c:v>
                </c:pt>
                <c:pt idx="4">
                  <c:v>8.2350530071755905</c:v>
                </c:pt>
                <c:pt idx="5">
                  <c:v>8.2350552836524411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'(a)(b)'!$Q$12</c:f>
              <c:strCache>
                <c:ptCount val="1"/>
                <c:pt idx="0">
                  <c:v>theoretical</c:v>
                </c:pt>
              </c:strCache>
            </c:strRef>
          </c:tx>
          <c:cat>
            <c:strRef>
              <c:f>'(a)(b)'!$M$13:$M$18</c:f>
              <c:strCache>
                <c:ptCount val="6"/>
                <c:pt idx="0">
                  <c:v>125</c:v>
                </c:pt>
                <c:pt idx="1">
                  <c:v>250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  <c:pt idx="5">
                  <c:v>4000</c:v>
                </c:pt>
              </c:strCache>
            </c:strRef>
          </c:cat>
          <c:val>
            <c:numRef>
              <c:f>'(a)(b)'!$Q$13:$Q$18</c:f>
              <c:numCache>
                <c:formatCode>General</c:formatCode>
                <c:ptCount val="6"/>
                <c:pt idx="0">
                  <c:v>8.2350574622956803</c:v>
                </c:pt>
                <c:pt idx="1">
                  <c:v>8.2350574622956803</c:v>
                </c:pt>
                <c:pt idx="2">
                  <c:v>8.2350574622956803</c:v>
                </c:pt>
                <c:pt idx="3">
                  <c:v>8.2350574622956803</c:v>
                </c:pt>
                <c:pt idx="4">
                  <c:v>8.2350574622956803</c:v>
                </c:pt>
                <c:pt idx="5">
                  <c:v>8.2350574622956803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02240"/>
        <c:axId val="173803776"/>
      </c:lineChart>
      <c:catAx>
        <c:axId val="17380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3803776"/>
        <c:crosses val="autoZero"/>
        <c:auto val="1"/>
        <c:lblAlgn val="ctr"/>
        <c:lblOffset val="100"/>
        <c:noMultiLvlLbl val="0"/>
      </c:catAx>
      <c:valAx>
        <c:axId val="17380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02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'(c)'!$C$9</c:f>
              <c:strCache>
                <c:ptCount val="1"/>
                <c:pt idx="0">
                  <c:v>upper bound price for early exercise</c:v>
                </c:pt>
              </c:strCache>
            </c:strRef>
          </c:tx>
          <c:marker>
            <c:symbol val="none"/>
          </c:marker>
          <c:val>
            <c:numRef>
              <c:f>'(c)'!$C$10:$C$509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64.025986237092056</c:v>
                </c:pt>
                <c:pt idx="49">
                  <c:v>63.421454479139584</c:v>
                </c:pt>
                <c:pt idx="50">
                  <c:v>64.025986237092056</c:v>
                </c:pt>
                <c:pt idx="51">
                  <c:v>63.421454479139584</c:v>
                </c:pt>
                <c:pt idx="52">
                  <c:v>64.025986237092056</c:v>
                </c:pt>
                <c:pt idx="53">
                  <c:v>63.421454479139584</c:v>
                </c:pt>
                <c:pt idx="54">
                  <c:v>64.025986237092056</c:v>
                </c:pt>
                <c:pt idx="55">
                  <c:v>63.421454479139584</c:v>
                </c:pt>
                <c:pt idx="56">
                  <c:v>64.025986237092056</c:v>
                </c:pt>
                <c:pt idx="57">
                  <c:v>63.421454479139584</c:v>
                </c:pt>
                <c:pt idx="58">
                  <c:v>64.025986237092056</c:v>
                </c:pt>
                <c:pt idx="59">
                  <c:v>63.421454479139584</c:v>
                </c:pt>
                <c:pt idx="60">
                  <c:v>64.025986237092056</c:v>
                </c:pt>
                <c:pt idx="61">
                  <c:v>63.421454479139584</c:v>
                </c:pt>
                <c:pt idx="62">
                  <c:v>64.025986237092056</c:v>
                </c:pt>
                <c:pt idx="63">
                  <c:v>64.636280377023553</c:v>
                </c:pt>
                <c:pt idx="64">
                  <c:v>64.025986237092056</c:v>
                </c:pt>
                <c:pt idx="65">
                  <c:v>64.636280377023553</c:v>
                </c:pt>
                <c:pt idx="66">
                  <c:v>64.025986237092056</c:v>
                </c:pt>
                <c:pt idx="67">
                  <c:v>64.636280377023553</c:v>
                </c:pt>
                <c:pt idx="68">
                  <c:v>64.025986237092056</c:v>
                </c:pt>
                <c:pt idx="69">
                  <c:v>64.636280377023553</c:v>
                </c:pt>
                <c:pt idx="70">
                  <c:v>64.025986237092056</c:v>
                </c:pt>
                <c:pt idx="71">
                  <c:v>64.636280377023553</c:v>
                </c:pt>
                <c:pt idx="72">
                  <c:v>64.025986237092056</c:v>
                </c:pt>
                <c:pt idx="73">
                  <c:v>64.636280377023553</c:v>
                </c:pt>
                <c:pt idx="74">
                  <c:v>64.025986237092056</c:v>
                </c:pt>
                <c:pt idx="75">
                  <c:v>64.636280377023553</c:v>
                </c:pt>
                <c:pt idx="76">
                  <c:v>64.025986237092056</c:v>
                </c:pt>
                <c:pt idx="77">
                  <c:v>64.636280377023553</c:v>
                </c:pt>
                <c:pt idx="78">
                  <c:v>64.025986237092056</c:v>
                </c:pt>
                <c:pt idx="79">
                  <c:v>64.636280377023553</c:v>
                </c:pt>
                <c:pt idx="80">
                  <c:v>64.025986237092056</c:v>
                </c:pt>
                <c:pt idx="81">
                  <c:v>64.636280377023553</c:v>
                </c:pt>
                <c:pt idx="82">
                  <c:v>64.025986237092056</c:v>
                </c:pt>
                <c:pt idx="83">
                  <c:v>64.636280377023553</c:v>
                </c:pt>
                <c:pt idx="84">
                  <c:v>64.025986237092056</c:v>
                </c:pt>
                <c:pt idx="85">
                  <c:v>64.636280377023553</c:v>
                </c:pt>
                <c:pt idx="86">
                  <c:v>65.252391825818577</c:v>
                </c:pt>
                <c:pt idx="87">
                  <c:v>64.636280377023553</c:v>
                </c:pt>
                <c:pt idx="88">
                  <c:v>65.252391825818577</c:v>
                </c:pt>
                <c:pt idx="89">
                  <c:v>64.636280377023553</c:v>
                </c:pt>
                <c:pt idx="90">
                  <c:v>65.252391825818577</c:v>
                </c:pt>
                <c:pt idx="91">
                  <c:v>64.636280377023553</c:v>
                </c:pt>
                <c:pt idx="92">
                  <c:v>65.252391825818577</c:v>
                </c:pt>
                <c:pt idx="93">
                  <c:v>64.636280377023553</c:v>
                </c:pt>
                <c:pt idx="94">
                  <c:v>65.252391825818577</c:v>
                </c:pt>
                <c:pt idx="95">
                  <c:v>64.636280377023553</c:v>
                </c:pt>
                <c:pt idx="96">
                  <c:v>65.252391825818577</c:v>
                </c:pt>
                <c:pt idx="97">
                  <c:v>64.636280377023553</c:v>
                </c:pt>
                <c:pt idx="98">
                  <c:v>65.252391825818577</c:v>
                </c:pt>
                <c:pt idx="99">
                  <c:v>64.636280377023553</c:v>
                </c:pt>
                <c:pt idx="100">
                  <c:v>65.252391825818577</c:v>
                </c:pt>
                <c:pt idx="101">
                  <c:v>64.636280377023553</c:v>
                </c:pt>
                <c:pt idx="102">
                  <c:v>65.252391825818577</c:v>
                </c:pt>
                <c:pt idx="103">
                  <c:v>64.636280377023553</c:v>
                </c:pt>
                <c:pt idx="104">
                  <c:v>65.252391825818577</c:v>
                </c:pt>
                <c:pt idx="105">
                  <c:v>64.636280377023553</c:v>
                </c:pt>
                <c:pt idx="106">
                  <c:v>65.252391825818577</c:v>
                </c:pt>
                <c:pt idx="107">
                  <c:v>64.636280377023553</c:v>
                </c:pt>
                <c:pt idx="108">
                  <c:v>65.252391825818577</c:v>
                </c:pt>
                <c:pt idx="109">
                  <c:v>65.874376033923426</c:v>
                </c:pt>
                <c:pt idx="110">
                  <c:v>65.252391825818577</c:v>
                </c:pt>
                <c:pt idx="111">
                  <c:v>65.874376033923426</c:v>
                </c:pt>
                <c:pt idx="112">
                  <c:v>65.252391825818577</c:v>
                </c:pt>
                <c:pt idx="113">
                  <c:v>65.874376033923426</c:v>
                </c:pt>
                <c:pt idx="114">
                  <c:v>65.252391825818577</c:v>
                </c:pt>
                <c:pt idx="115">
                  <c:v>65.874376033923426</c:v>
                </c:pt>
                <c:pt idx="116">
                  <c:v>65.252391825818577</c:v>
                </c:pt>
                <c:pt idx="117">
                  <c:v>65.874376033923426</c:v>
                </c:pt>
                <c:pt idx="118">
                  <c:v>65.252391825818577</c:v>
                </c:pt>
                <c:pt idx="119">
                  <c:v>65.874376033923426</c:v>
                </c:pt>
                <c:pt idx="120">
                  <c:v>65.252391825818577</c:v>
                </c:pt>
                <c:pt idx="121">
                  <c:v>65.874376033923426</c:v>
                </c:pt>
                <c:pt idx="122">
                  <c:v>65.252391825818577</c:v>
                </c:pt>
                <c:pt idx="123">
                  <c:v>65.874376033923426</c:v>
                </c:pt>
                <c:pt idx="124">
                  <c:v>65.252391825818577</c:v>
                </c:pt>
                <c:pt idx="125">
                  <c:v>65.874376033923426</c:v>
                </c:pt>
                <c:pt idx="126">
                  <c:v>65.252391825818577</c:v>
                </c:pt>
                <c:pt idx="127">
                  <c:v>65.874376033923426</c:v>
                </c:pt>
                <c:pt idx="128">
                  <c:v>65.252391825818577</c:v>
                </c:pt>
                <c:pt idx="129">
                  <c:v>65.874376033923426</c:v>
                </c:pt>
                <c:pt idx="130">
                  <c:v>65.252391825818577</c:v>
                </c:pt>
                <c:pt idx="131">
                  <c:v>65.874376033923426</c:v>
                </c:pt>
                <c:pt idx="132">
                  <c:v>66.502288980336672</c:v>
                </c:pt>
                <c:pt idx="133">
                  <c:v>65.874376033923426</c:v>
                </c:pt>
                <c:pt idx="134">
                  <c:v>66.502288980336672</c:v>
                </c:pt>
                <c:pt idx="135">
                  <c:v>65.874376033923426</c:v>
                </c:pt>
                <c:pt idx="136">
                  <c:v>66.502288980336672</c:v>
                </c:pt>
                <c:pt idx="137">
                  <c:v>65.874376033923426</c:v>
                </c:pt>
                <c:pt idx="138">
                  <c:v>66.502288980336672</c:v>
                </c:pt>
                <c:pt idx="139">
                  <c:v>65.874376033923426</c:v>
                </c:pt>
                <c:pt idx="140">
                  <c:v>66.502288980336672</c:v>
                </c:pt>
                <c:pt idx="141">
                  <c:v>65.874376033923426</c:v>
                </c:pt>
                <c:pt idx="142">
                  <c:v>66.502288980336672</c:v>
                </c:pt>
                <c:pt idx="143">
                  <c:v>65.874376033923426</c:v>
                </c:pt>
                <c:pt idx="144">
                  <c:v>66.502288980336672</c:v>
                </c:pt>
                <c:pt idx="145">
                  <c:v>65.874376033923426</c:v>
                </c:pt>
                <c:pt idx="146">
                  <c:v>66.502288980336672</c:v>
                </c:pt>
                <c:pt idx="147">
                  <c:v>65.874376033923426</c:v>
                </c:pt>
                <c:pt idx="148">
                  <c:v>66.502288980336672</c:v>
                </c:pt>
                <c:pt idx="149">
                  <c:v>65.874376033923426</c:v>
                </c:pt>
                <c:pt idx="150">
                  <c:v>66.502288980336672</c:v>
                </c:pt>
                <c:pt idx="151">
                  <c:v>65.874376033923426</c:v>
                </c:pt>
                <c:pt idx="152">
                  <c:v>66.502288980336672</c:v>
                </c:pt>
                <c:pt idx="153">
                  <c:v>67.136187177647329</c:v>
                </c:pt>
                <c:pt idx="154">
                  <c:v>66.502288980336672</c:v>
                </c:pt>
                <c:pt idx="155">
                  <c:v>67.136187177647329</c:v>
                </c:pt>
                <c:pt idx="156">
                  <c:v>66.502288980336672</c:v>
                </c:pt>
                <c:pt idx="157">
                  <c:v>67.136187177647329</c:v>
                </c:pt>
                <c:pt idx="158">
                  <c:v>66.502288980336672</c:v>
                </c:pt>
                <c:pt idx="159">
                  <c:v>67.136187177647329</c:v>
                </c:pt>
                <c:pt idx="160">
                  <c:v>66.502288980336672</c:v>
                </c:pt>
                <c:pt idx="161">
                  <c:v>67.136187177647329</c:v>
                </c:pt>
                <c:pt idx="162">
                  <c:v>66.502288980336672</c:v>
                </c:pt>
                <c:pt idx="163">
                  <c:v>67.136187177647329</c:v>
                </c:pt>
                <c:pt idx="164">
                  <c:v>66.502288980336672</c:v>
                </c:pt>
                <c:pt idx="165">
                  <c:v>67.136187177647329</c:v>
                </c:pt>
                <c:pt idx="166">
                  <c:v>66.502288980336672</c:v>
                </c:pt>
                <c:pt idx="167">
                  <c:v>67.136187177647329</c:v>
                </c:pt>
                <c:pt idx="168">
                  <c:v>66.502288980336672</c:v>
                </c:pt>
                <c:pt idx="169">
                  <c:v>67.136187177647329</c:v>
                </c:pt>
                <c:pt idx="170">
                  <c:v>66.502288980336672</c:v>
                </c:pt>
                <c:pt idx="171">
                  <c:v>67.136187177647329</c:v>
                </c:pt>
                <c:pt idx="172">
                  <c:v>67.776127677121039</c:v>
                </c:pt>
                <c:pt idx="173">
                  <c:v>67.136187177647329</c:v>
                </c:pt>
                <c:pt idx="174">
                  <c:v>67.776127677121039</c:v>
                </c:pt>
                <c:pt idx="175">
                  <c:v>67.136187177647329</c:v>
                </c:pt>
                <c:pt idx="176">
                  <c:v>67.776127677121039</c:v>
                </c:pt>
                <c:pt idx="177">
                  <c:v>67.136187177647329</c:v>
                </c:pt>
                <c:pt idx="178">
                  <c:v>67.776127677121039</c:v>
                </c:pt>
                <c:pt idx="179">
                  <c:v>67.136187177647329</c:v>
                </c:pt>
                <c:pt idx="180">
                  <c:v>67.776127677121039</c:v>
                </c:pt>
                <c:pt idx="181">
                  <c:v>67.136187177647329</c:v>
                </c:pt>
                <c:pt idx="182">
                  <c:v>67.776127677121039</c:v>
                </c:pt>
                <c:pt idx="183">
                  <c:v>67.136187177647329</c:v>
                </c:pt>
                <c:pt idx="184">
                  <c:v>67.776127677121039</c:v>
                </c:pt>
                <c:pt idx="185">
                  <c:v>67.136187177647329</c:v>
                </c:pt>
                <c:pt idx="186">
                  <c:v>67.776127677121039</c:v>
                </c:pt>
                <c:pt idx="187">
                  <c:v>67.136187177647329</c:v>
                </c:pt>
                <c:pt idx="188">
                  <c:v>67.776127677121039</c:v>
                </c:pt>
                <c:pt idx="189">
                  <c:v>67.136187177647329</c:v>
                </c:pt>
                <c:pt idx="190">
                  <c:v>67.776127677121039</c:v>
                </c:pt>
                <c:pt idx="191">
                  <c:v>67.136187177647329</c:v>
                </c:pt>
                <c:pt idx="192">
                  <c:v>67.776127677121039</c:v>
                </c:pt>
                <c:pt idx="193">
                  <c:v>68.422168073834726</c:v>
                </c:pt>
                <c:pt idx="194">
                  <c:v>67.776127677121039</c:v>
                </c:pt>
                <c:pt idx="195">
                  <c:v>68.422168073834726</c:v>
                </c:pt>
                <c:pt idx="196">
                  <c:v>67.776127677121039</c:v>
                </c:pt>
                <c:pt idx="197">
                  <c:v>68.422168073834726</c:v>
                </c:pt>
                <c:pt idx="198">
                  <c:v>67.776127677121039</c:v>
                </c:pt>
                <c:pt idx="199">
                  <c:v>68.422168073834726</c:v>
                </c:pt>
                <c:pt idx="200">
                  <c:v>67.776127677121039</c:v>
                </c:pt>
                <c:pt idx="201">
                  <c:v>68.422168073834726</c:v>
                </c:pt>
                <c:pt idx="202">
                  <c:v>67.776127677121039</c:v>
                </c:pt>
                <c:pt idx="203">
                  <c:v>68.422168073834726</c:v>
                </c:pt>
                <c:pt idx="204">
                  <c:v>67.776127677121039</c:v>
                </c:pt>
                <c:pt idx="205">
                  <c:v>68.422168073834726</c:v>
                </c:pt>
                <c:pt idx="206">
                  <c:v>67.776127677121039</c:v>
                </c:pt>
                <c:pt idx="207">
                  <c:v>68.422168073834726</c:v>
                </c:pt>
                <c:pt idx="208">
                  <c:v>67.776127677121039</c:v>
                </c:pt>
                <c:pt idx="209">
                  <c:v>68.422168073834726</c:v>
                </c:pt>
                <c:pt idx="210">
                  <c:v>69.074366511860148</c:v>
                </c:pt>
                <c:pt idx="211">
                  <c:v>68.422168073834726</c:v>
                </c:pt>
                <c:pt idx="212">
                  <c:v>69.074366511860148</c:v>
                </c:pt>
                <c:pt idx="213">
                  <c:v>68.422168073834726</c:v>
                </c:pt>
                <c:pt idx="214">
                  <c:v>69.074366511860148</c:v>
                </c:pt>
                <c:pt idx="215">
                  <c:v>68.422168073834726</c:v>
                </c:pt>
                <c:pt idx="216">
                  <c:v>69.074366511860148</c:v>
                </c:pt>
                <c:pt idx="217">
                  <c:v>68.422168073834726</c:v>
                </c:pt>
                <c:pt idx="218">
                  <c:v>69.074366511860148</c:v>
                </c:pt>
                <c:pt idx="219">
                  <c:v>68.422168073834726</c:v>
                </c:pt>
                <c:pt idx="220">
                  <c:v>69.074366511860148</c:v>
                </c:pt>
                <c:pt idx="221">
                  <c:v>68.422168073834726</c:v>
                </c:pt>
                <c:pt idx="222">
                  <c:v>69.074366511860148</c:v>
                </c:pt>
                <c:pt idx="223">
                  <c:v>68.422168073834726</c:v>
                </c:pt>
                <c:pt idx="224">
                  <c:v>69.074366511860148</c:v>
                </c:pt>
                <c:pt idx="225">
                  <c:v>68.422168073834726</c:v>
                </c:pt>
                <c:pt idx="226">
                  <c:v>69.074366511860148</c:v>
                </c:pt>
                <c:pt idx="227">
                  <c:v>68.422168073834726</c:v>
                </c:pt>
                <c:pt idx="228">
                  <c:v>69.074366511860148</c:v>
                </c:pt>
                <c:pt idx="229">
                  <c:v>69.732781689496974</c:v>
                </c:pt>
                <c:pt idx="230">
                  <c:v>69.074366511860148</c:v>
                </c:pt>
                <c:pt idx="231">
                  <c:v>69.732781689496974</c:v>
                </c:pt>
                <c:pt idx="232">
                  <c:v>69.074366511860148</c:v>
                </c:pt>
                <c:pt idx="233">
                  <c:v>69.732781689496974</c:v>
                </c:pt>
                <c:pt idx="234">
                  <c:v>69.074366511860148</c:v>
                </c:pt>
                <c:pt idx="235">
                  <c:v>69.732781689496974</c:v>
                </c:pt>
                <c:pt idx="236">
                  <c:v>69.074366511860148</c:v>
                </c:pt>
                <c:pt idx="237">
                  <c:v>69.732781689496974</c:v>
                </c:pt>
                <c:pt idx="238">
                  <c:v>69.074366511860148</c:v>
                </c:pt>
                <c:pt idx="239">
                  <c:v>69.732781689496974</c:v>
                </c:pt>
                <c:pt idx="240">
                  <c:v>69.074366511860148</c:v>
                </c:pt>
                <c:pt idx="241">
                  <c:v>69.732781689496974</c:v>
                </c:pt>
                <c:pt idx="242">
                  <c:v>69.074366511860148</c:v>
                </c:pt>
                <c:pt idx="243">
                  <c:v>69.732781689496974</c:v>
                </c:pt>
                <c:pt idx="244">
                  <c:v>69.074366511860148</c:v>
                </c:pt>
                <c:pt idx="245">
                  <c:v>69.732781689496974</c:v>
                </c:pt>
                <c:pt idx="246">
                  <c:v>70.397472864555624</c:v>
                </c:pt>
                <c:pt idx="247">
                  <c:v>69.732781689496974</c:v>
                </c:pt>
                <c:pt idx="248">
                  <c:v>70.397472864555624</c:v>
                </c:pt>
                <c:pt idx="249">
                  <c:v>69.732781689496974</c:v>
                </c:pt>
                <c:pt idx="250">
                  <c:v>70.397472864555624</c:v>
                </c:pt>
                <c:pt idx="251">
                  <c:v>69.732781689496974</c:v>
                </c:pt>
                <c:pt idx="252">
                  <c:v>70.397472864555624</c:v>
                </c:pt>
                <c:pt idx="253">
                  <c:v>69.732781689496974</c:v>
                </c:pt>
                <c:pt idx="254">
                  <c:v>70.397472864555624</c:v>
                </c:pt>
                <c:pt idx="255">
                  <c:v>69.732781689496974</c:v>
                </c:pt>
                <c:pt idx="256">
                  <c:v>70.397472864555624</c:v>
                </c:pt>
                <c:pt idx="257">
                  <c:v>69.732781689496974</c:v>
                </c:pt>
                <c:pt idx="258">
                  <c:v>70.397472864555624</c:v>
                </c:pt>
                <c:pt idx="259">
                  <c:v>69.732781689496974</c:v>
                </c:pt>
                <c:pt idx="260">
                  <c:v>70.397472864555624</c:v>
                </c:pt>
                <c:pt idx="261">
                  <c:v>69.732781689496974</c:v>
                </c:pt>
                <c:pt idx="262">
                  <c:v>70.397472864555624</c:v>
                </c:pt>
                <c:pt idx="263">
                  <c:v>71.068499859690519</c:v>
                </c:pt>
                <c:pt idx="264">
                  <c:v>70.397472864555624</c:v>
                </c:pt>
                <c:pt idx="265">
                  <c:v>71.068499859690519</c:v>
                </c:pt>
                <c:pt idx="266">
                  <c:v>70.397472864555624</c:v>
                </c:pt>
                <c:pt idx="267">
                  <c:v>71.068499859690519</c:v>
                </c:pt>
                <c:pt idx="268">
                  <c:v>70.397472864555624</c:v>
                </c:pt>
                <c:pt idx="269">
                  <c:v>71.068499859690519</c:v>
                </c:pt>
                <c:pt idx="270">
                  <c:v>70.397472864555624</c:v>
                </c:pt>
                <c:pt idx="271">
                  <c:v>71.068499859690519</c:v>
                </c:pt>
                <c:pt idx="272">
                  <c:v>70.397472864555624</c:v>
                </c:pt>
                <c:pt idx="273">
                  <c:v>71.068499859690519</c:v>
                </c:pt>
                <c:pt idx="274">
                  <c:v>70.397472864555624</c:v>
                </c:pt>
                <c:pt idx="275">
                  <c:v>71.068499859690519</c:v>
                </c:pt>
                <c:pt idx="276">
                  <c:v>70.397472864555624</c:v>
                </c:pt>
                <c:pt idx="277">
                  <c:v>71.068499859690519</c:v>
                </c:pt>
                <c:pt idx="278">
                  <c:v>71.745923067784162</c:v>
                </c:pt>
                <c:pt idx="279">
                  <c:v>71.068499859690519</c:v>
                </c:pt>
                <c:pt idx="280">
                  <c:v>71.745923067784162</c:v>
                </c:pt>
                <c:pt idx="281">
                  <c:v>71.068499859690519</c:v>
                </c:pt>
                <c:pt idx="282">
                  <c:v>71.745923067784162</c:v>
                </c:pt>
                <c:pt idx="283">
                  <c:v>71.068499859690519</c:v>
                </c:pt>
                <c:pt idx="284">
                  <c:v>71.745923067784162</c:v>
                </c:pt>
                <c:pt idx="285">
                  <c:v>71.068499859690519</c:v>
                </c:pt>
                <c:pt idx="286">
                  <c:v>71.745923067784162</c:v>
                </c:pt>
                <c:pt idx="287">
                  <c:v>71.068499859690519</c:v>
                </c:pt>
                <c:pt idx="288">
                  <c:v>71.745923067784162</c:v>
                </c:pt>
                <c:pt idx="289">
                  <c:v>71.068499859690519</c:v>
                </c:pt>
                <c:pt idx="290">
                  <c:v>71.745923067784162</c:v>
                </c:pt>
                <c:pt idx="291">
                  <c:v>71.068499859690519</c:v>
                </c:pt>
                <c:pt idx="292">
                  <c:v>71.745923067784162</c:v>
                </c:pt>
                <c:pt idx="293">
                  <c:v>72.429803457382562</c:v>
                </c:pt>
                <c:pt idx="294">
                  <c:v>71.745923067784162</c:v>
                </c:pt>
                <c:pt idx="295">
                  <c:v>72.429803457382562</c:v>
                </c:pt>
                <c:pt idx="296">
                  <c:v>71.745923067784162</c:v>
                </c:pt>
                <c:pt idx="297">
                  <c:v>72.429803457382562</c:v>
                </c:pt>
                <c:pt idx="298">
                  <c:v>71.745923067784162</c:v>
                </c:pt>
                <c:pt idx="299">
                  <c:v>72.429803457382562</c:v>
                </c:pt>
                <c:pt idx="300">
                  <c:v>71.745923067784162</c:v>
                </c:pt>
                <c:pt idx="301">
                  <c:v>72.429803457382562</c:v>
                </c:pt>
                <c:pt idx="302">
                  <c:v>71.745923067784162</c:v>
                </c:pt>
                <c:pt idx="303">
                  <c:v>72.429803457382562</c:v>
                </c:pt>
                <c:pt idx="304">
                  <c:v>71.745923067784162</c:v>
                </c:pt>
                <c:pt idx="305">
                  <c:v>72.429803457382562</c:v>
                </c:pt>
                <c:pt idx="306">
                  <c:v>71.745923067784162</c:v>
                </c:pt>
                <c:pt idx="307">
                  <c:v>72.429803457382562</c:v>
                </c:pt>
                <c:pt idx="308">
                  <c:v>73.120202578182386</c:v>
                </c:pt>
                <c:pt idx="309">
                  <c:v>72.429803457382562</c:v>
                </c:pt>
                <c:pt idx="310">
                  <c:v>73.120202578182386</c:v>
                </c:pt>
                <c:pt idx="311">
                  <c:v>72.429803457382562</c:v>
                </c:pt>
                <c:pt idx="312">
                  <c:v>73.120202578182386</c:v>
                </c:pt>
                <c:pt idx="313">
                  <c:v>72.429803457382562</c:v>
                </c:pt>
                <c:pt idx="314">
                  <c:v>73.120202578182386</c:v>
                </c:pt>
                <c:pt idx="315">
                  <c:v>72.429803457382562</c:v>
                </c:pt>
                <c:pt idx="316">
                  <c:v>73.120202578182386</c:v>
                </c:pt>
                <c:pt idx="317">
                  <c:v>72.429803457382562</c:v>
                </c:pt>
                <c:pt idx="318">
                  <c:v>73.120202578182386</c:v>
                </c:pt>
                <c:pt idx="319">
                  <c:v>72.429803457382562</c:v>
                </c:pt>
                <c:pt idx="320">
                  <c:v>73.120202578182386</c:v>
                </c:pt>
                <c:pt idx="321">
                  <c:v>73.817182566570523</c:v>
                </c:pt>
                <c:pt idx="322">
                  <c:v>73.120202578182386</c:v>
                </c:pt>
                <c:pt idx="323">
                  <c:v>73.817182566570523</c:v>
                </c:pt>
                <c:pt idx="324">
                  <c:v>73.120202578182386</c:v>
                </c:pt>
                <c:pt idx="325">
                  <c:v>73.817182566570523</c:v>
                </c:pt>
                <c:pt idx="326">
                  <c:v>73.120202578182386</c:v>
                </c:pt>
                <c:pt idx="327">
                  <c:v>73.817182566570523</c:v>
                </c:pt>
                <c:pt idx="328">
                  <c:v>73.120202578182386</c:v>
                </c:pt>
                <c:pt idx="329">
                  <c:v>73.817182566570523</c:v>
                </c:pt>
                <c:pt idx="330">
                  <c:v>73.120202578182386</c:v>
                </c:pt>
                <c:pt idx="331">
                  <c:v>73.817182566570523</c:v>
                </c:pt>
                <c:pt idx="332">
                  <c:v>73.120202578182386</c:v>
                </c:pt>
                <c:pt idx="333">
                  <c:v>73.817182566570523</c:v>
                </c:pt>
                <c:pt idx="334">
                  <c:v>74.520806151216419</c:v>
                </c:pt>
                <c:pt idx="335">
                  <c:v>73.817182566570523</c:v>
                </c:pt>
                <c:pt idx="336">
                  <c:v>74.520806151216419</c:v>
                </c:pt>
                <c:pt idx="337">
                  <c:v>73.817182566570523</c:v>
                </c:pt>
                <c:pt idx="338">
                  <c:v>74.520806151216419</c:v>
                </c:pt>
                <c:pt idx="339">
                  <c:v>73.817182566570523</c:v>
                </c:pt>
                <c:pt idx="340">
                  <c:v>74.520806151216419</c:v>
                </c:pt>
                <c:pt idx="341">
                  <c:v>73.817182566570523</c:v>
                </c:pt>
                <c:pt idx="342">
                  <c:v>74.520806151216419</c:v>
                </c:pt>
                <c:pt idx="343">
                  <c:v>73.817182566570523</c:v>
                </c:pt>
                <c:pt idx="344">
                  <c:v>74.520806151216419</c:v>
                </c:pt>
                <c:pt idx="345">
                  <c:v>73.817182566570523</c:v>
                </c:pt>
                <c:pt idx="346">
                  <c:v>74.520806151216419</c:v>
                </c:pt>
                <c:pt idx="347">
                  <c:v>75.231136658717602</c:v>
                </c:pt>
                <c:pt idx="348">
                  <c:v>74.520806151216419</c:v>
                </c:pt>
                <c:pt idx="349">
                  <c:v>75.231136658717602</c:v>
                </c:pt>
                <c:pt idx="350">
                  <c:v>74.520806151216419</c:v>
                </c:pt>
                <c:pt idx="351">
                  <c:v>75.231136658717602</c:v>
                </c:pt>
                <c:pt idx="352">
                  <c:v>74.520806151216419</c:v>
                </c:pt>
                <c:pt idx="353">
                  <c:v>75.231136658717602</c:v>
                </c:pt>
                <c:pt idx="354">
                  <c:v>74.520806151216419</c:v>
                </c:pt>
                <c:pt idx="355">
                  <c:v>75.231136658717602</c:v>
                </c:pt>
                <c:pt idx="356">
                  <c:v>74.520806151216419</c:v>
                </c:pt>
                <c:pt idx="357">
                  <c:v>75.231136658717602</c:v>
                </c:pt>
                <c:pt idx="358">
                  <c:v>74.520806151216419</c:v>
                </c:pt>
                <c:pt idx="359">
                  <c:v>75.231136658717602</c:v>
                </c:pt>
                <c:pt idx="360">
                  <c:v>75.948238019299239</c:v>
                </c:pt>
                <c:pt idx="361">
                  <c:v>75.231136658717602</c:v>
                </c:pt>
                <c:pt idx="362">
                  <c:v>75.948238019299239</c:v>
                </c:pt>
                <c:pt idx="363">
                  <c:v>75.231136658717602</c:v>
                </c:pt>
                <c:pt idx="364">
                  <c:v>75.948238019299239</c:v>
                </c:pt>
                <c:pt idx="365">
                  <c:v>75.231136658717602</c:v>
                </c:pt>
                <c:pt idx="366">
                  <c:v>75.948238019299239</c:v>
                </c:pt>
                <c:pt idx="367">
                  <c:v>75.231136658717602</c:v>
                </c:pt>
                <c:pt idx="368">
                  <c:v>75.948238019299239</c:v>
                </c:pt>
                <c:pt idx="369">
                  <c:v>75.231136658717602</c:v>
                </c:pt>
                <c:pt idx="370">
                  <c:v>75.948238019299239</c:v>
                </c:pt>
                <c:pt idx="371">
                  <c:v>76.672174772567843</c:v>
                </c:pt>
                <c:pt idx="372">
                  <c:v>75.948238019299239</c:v>
                </c:pt>
                <c:pt idx="373">
                  <c:v>76.672174772567843</c:v>
                </c:pt>
                <c:pt idx="374">
                  <c:v>75.948238019299239</c:v>
                </c:pt>
                <c:pt idx="375">
                  <c:v>76.672174772567843</c:v>
                </c:pt>
                <c:pt idx="376">
                  <c:v>75.948238019299239</c:v>
                </c:pt>
                <c:pt idx="377">
                  <c:v>76.672174772567843</c:v>
                </c:pt>
                <c:pt idx="378">
                  <c:v>75.948238019299239</c:v>
                </c:pt>
                <c:pt idx="379">
                  <c:v>76.672174772567843</c:v>
                </c:pt>
                <c:pt idx="380">
                  <c:v>75.948238019299239</c:v>
                </c:pt>
                <c:pt idx="381">
                  <c:v>76.672174772567843</c:v>
                </c:pt>
                <c:pt idx="382">
                  <c:v>77.403012073319829</c:v>
                </c:pt>
                <c:pt idx="383">
                  <c:v>76.672174772567843</c:v>
                </c:pt>
                <c:pt idx="384">
                  <c:v>77.403012073319829</c:v>
                </c:pt>
                <c:pt idx="385">
                  <c:v>76.672174772567843</c:v>
                </c:pt>
                <c:pt idx="386">
                  <c:v>77.403012073319829</c:v>
                </c:pt>
                <c:pt idx="387">
                  <c:v>76.672174772567843</c:v>
                </c:pt>
                <c:pt idx="388">
                  <c:v>77.403012073319829</c:v>
                </c:pt>
                <c:pt idx="389">
                  <c:v>76.672174772567843</c:v>
                </c:pt>
                <c:pt idx="390">
                  <c:v>77.403012073319829</c:v>
                </c:pt>
                <c:pt idx="391">
                  <c:v>78.140815697405614</c:v>
                </c:pt>
                <c:pt idx="392">
                  <c:v>77.403012073319829</c:v>
                </c:pt>
                <c:pt idx="393">
                  <c:v>78.140815697405614</c:v>
                </c:pt>
                <c:pt idx="394">
                  <c:v>77.403012073319829</c:v>
                </c:pt>
                <c:pt idx="395">
                  <c:v>78.140815697405614</c:v>
                </c:pt>
                <c:pt idx="396">
                  <c:v>77.403012073319829</c:v>
                </c:pt>
                <c:pt idx="397">
                  <c:v>78.140815697405614</c:v>
                </c:pt>
                <c:pt idx="398">
                  <c:v>77.403012073319829</c:v>
                </c:pt>
                <c:pt idx="399">
                  <c:v>78.140815697405614</c:v>
                </c:pt>
                <c:pt idx="400">
                  <c:v>78.885652047649373</c:v>
                </c:pt>
                <c:pt idx="401">
                  <c:v>78.140815697405614</c:v>
                </c:pt>
                <c:pt idx="402">
                  <c:v>78.885652047649373</c:v>
                </c:pt>
                <c:pt idx="403">
                  <c:v>78.140815697405614</c:v>
                </c:pt>
                <c:pt idx="404">
                  <c:v>78.885652047649373</c:v>
                </c:pt>
                <c:pt idx="405">
                  <c:v>78.140815697405614</c:v>
                </c:pt>
                <c:pt idx="406">
                  <c:v>78.885652047649373</c:v>
                </c:pt>
                <c:pt idx="407">
                  <c:v>78.140815697405614</c:v>
                </c:pt>
                <c:pt idx="408">
                  <c:v>78.885652047649373</c:v>
                </c:pt>
                <c:pt idx="409">
                  <c:v>78.140815697405614</c:v>
                </c:pt>
                <c:pt idx="410">
                  <c:v>78.885652047649373</c:v>
                </c:pt>
                <c:pt idx="411">
                  <c:v>79.637588159825398</c:v>
                </c:pt>
                <c:pt idx="412">
                  <c:v>78.885652047649373</c:v>
                </c:pt>
                <c:pt idx="413">
                  <c:v>79.637588159825398</c:v>
                </c:pt>
                <c:pt idx="414">
                  <c:v>78.885652047649373</c:v>
                </c:pt>
                <c:pt idx="415">
                  <c:v>79.637588159825398</c:v>
                </c:pt>
                <c:pt idx="416">
                  <c:v>78.885652047649373</c:v>
                </c:pt>
                <c:pt idx="417">
                  <c:v>79.637588159825398</c:v>
                </c:pt>
                <c:pt idx="418">
                  <c:v>80.396691708691336</c:v>
                </c:pt>
                <c:pt idx="419">
                  <c:v>79.637588159825398</c:v>
                </c:pt>
                <c:pt idx="420">
                  <c:v>80.396691708691336</c:v>
                </c:pt>
                <c:pt idx="421">
                  <c:v>79.637588159825398</c:v>
                </c:pt>
                <c:pt idx="422">
                  <c:v>80.396691708691336</c:v>
                </c:pt>
                <c:pt idx="423">
                  <c:v>79.637588159825398</c:v>
                </c:pt>
                <c:pt idx="424">
                  <c:v>80.396691708691336</c:v>
                </c:pt>
                <c:pt idx="425">
                  <c:v>79.637588159825398</c:v>
                </c:pt>
                <c:pt idx="426">
                  <c:v>80.396691708691336</c:v>
                </c:pt>
                <c:pt idx="427">
                  <c:v>81.163031014078996</c:v>
                </c:pt>
                <c:pt idx="428">
                  <c:v>80.396691708691336</c:v>
                </c:pt>
                <c:pt idx="429">
                  <c:v>81.163031014078996</c:v>
                </c:pt>
                <c:pt idx="430">
                  <c:v>80.396691708691336</c:v>
                </c:pt>
                <c:pt idx="431">
                  <c:v>81.163031014078996</c:v>
                </c:pt>
                <c:pt idx="432">
                  <c:v>80.396691708691336</c:v>
                </c:pt>
                <c:pt idx="433">
                  <c:v>81.163031014078996</c:v>
                </c:pt>
                <c:pt idx="434">
                  <c:v>81.93667504704311</c:v>
                </c:pt>
                <c:pt idx="435">
                  <c:v>81.163031014078996</c:v>
                </c:pt>
                <c:pt idx="436">
                  <c:v>81.93667504704311</c:v>
                </c:pt>
                <c:pt idx="437">
                  <c:v>81.163031014078996</c:v>
                </c:pt>
                <c:pt idx="438">
                  <c:v>81.93667504704311</c:v>
                </c:pt>
                <c:pt idx="439">
                  <c:v>81.163031014078996</c:v>
                </c:pt>
                <c:pt idx="440">
                  <c:v>81.93667504704311</c:v>
                </c:pt>
                <c:pt idx="441">
                  <c:v>82.717693436068913</c:v>
                </c:pt>
                <c:pt idx="442">
                  <c:v>81.93667504704311</c:v>
                </c:pt>
                <c:pt idx="443">
                  <c:v>82.717693436068913</c:v>
                </c:pt>
                <c:pt idx="444">
                  <c:v>81.93667504704311</c:v>
                </c:pt>
                <c:pt idx="445">
                  <c:v>82.717693436068913</c:v>
                </c:pt>
                <c:pt idx="446">
                  <c:v>81.93667504704311</c:v>
                </c:pt>
                <c:pt idx="447">
                  <c:v>82.717693436068913</c:v>
                </c:pt>
                <c:pt idx="448">
                  <c:v>83.50615647333855</c:v>
                </c:pt>
                <c:pt idx="449">
                  <c:v>82.717693436068913</c:v>
                </c:pt>
                <c:pt idx="450">
                  <c:v>83.50615647333855</c:v>
                </c:pt>
                <c:pt idx="451">
                  <c:v>82.717693436068913</c:v>
                </c:pt>
                <c:pt idx="452">
                  <c:v>83.50615647333855</c:v>
                </c:pt>
                <c:pt idx="453">
                  <c:v>84.302135121057603</c:v>
                </c:pt>
                <c:pt idx="454">
                  <c:v>83.50615647333855</c:v>
                </c:pt>
                <c:pt idx="455">
                  <c:v>84.302135121057603</c:v>
                </c:pt>
                <c:pt idx="456">
                  <c:v>83.50615647333855</c:v>
                </c:pt>
                <c:pt idx="457">
                  <c:v>84.302135121057603</c:v>
                </c:pt>
                <c:pt idx="458">
                  <c:v>83.50615647333855</c:v>
                </c:pt>
                <c:pt idx="459">
                  <c:v>84.302135121057603</c:v>
                </c:pt>
                <c:pt idx="460">
                  <c:v>85.105701017841682</c:v>
                </c:pt>
                <c:pt idx="461">
                  <c:v>84.302135121057603</c:v>
                </c:pt>
                <c:pt idx="462">
                  <c:v>85.105701017841682</c:v>
                </c:pt>
                <c:pt idx="463">
                  <c:v>84.302135121057603</c:v>
                </c:pt>
                <c:pt idx="464">
                  <c:v>85.105701017841682</c:v>
                </c:pt>
                <c:pt idx="465">
                  <c:v>85.916926485163884</c:v>
                </c:pt>
                <c:pt idx="466">
                  <c:v>85.105701017841682</c:v>
                </c:pt>
                <c:pt idx="467">
                  <c:v>85.916926485163884</c:v>
                </c:pt>
                <c:pt idx="468">
                  <c:v>85.105701017841682</c:v>
                </c:pt>
                <c:pt idx="469">
                  <c:v>85.916926485163884</c:v>
                </c:pt>
                <c:pt idx="470">
                  <c:v>86.735884533863853</c:v>
                </c:pt>
                <c:pt idx="471">
                  <c:v>85.916926485163884</c:v>
                </c:pt>
                <c:pt idx="472">
                  <c:v>86.735884533863853</c:v>
                </c:pt>
                <c:pt idx="473">
                  <c:v>87.56264887071876</c:v>
                </c:pt>
                <c:pt idx="474">
                  <c:v>86.735884533863853</c:v>
                </c:pt>
                <c:pt idx="475">
                  <c:v>87.56264887071876</c:v>
                </c:pt>
                <c:pt idx="476">
                  <c:v>86.735884533863853</c:v>
                </c:pt>
                <c:pt idx="477">
                  <c:v>87.56264887071876</c:v>
                </c:pt>
                <c:pt idx="478">
                  <c:v>88.397293905077007</c:v>
                </c:pt>
                <c:pt idx="479">
                  <c:v>87.56264887071876</c:v>
                </c:pt>
                <c:pt idx="480">
                  <c:v>88.397293905077007</c:v>
                </c:pt>
                <c:pt idx="481">
                  <c:v>89.239894755555042</c:v>
                </c:pt>
                <c:pt idx="482">
                  <c:v>88.397293905077007</c:v>
                </c:pt>
                <c:pt idx="483">
                  <c:v>89.239894755555042</c:v>
                </c:pt>
                <c:pt idx="484">
                  <c:v>90.090527256798197</c:v>
                </c:pt>
                <c:pt idx="485">
                  <c:v>89.239894755555042</c:v>
                </c:pt>
                <c:pt idx="486">
                  <c:v>90.090527256798197</c:v>
                </c:pt>
                <c:pt idx="487">
                  <c:v>90.949267966305754</c:v>
                </c:pt>
                <c:pt idx="488">
                  <c:v>90.090527256798197</c:v>
                </c:pt>
                <c:pt idx="489">
                  <c:v>90.949267966305754</c:v>
                </c:pt>
                <c:pt idx="490">
                  <c:v>91.816194171321214</c:v>
                </c:pt>
                <c:pt idx="491">
                  <c:v>90.949267966305754</c:v>
                </c:pt>
                <c:pt idx="492">
                  <c:v>91.816194171321214</c:v>
                </c:pt>
                <c:pt idx="493">
                  <c:v>92.691383895788221</c:v>
                </c:pt>
                <c:pt idx="494">
                  <c:v>93.574915907372727</c:v>
                </c:pt>
                <c:pt idx="495">
                  <c:v>94.46686972455214</c:v>
                </c:pt>
                <c:pt idx="496">
                  <c:v>95.367325623772089</c:v>
                </c:pt>
                <c:pt idx="497">
                  <c:v>96.276364646671325</c:v>
                </c:pt>
                <c:pt idx="498">
                  <c:v>97.194068607375499</c:v>
                </c:pt>
                <c:pt idx="499">
                  <c:v>98.120520099860514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61504"/>
        <c:axId val="173543808"/>
      </c:lineChart>
      <c:catAx>
        <c:axId val="173861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43808"/>
        <c:crosses val="autoZero"/>
        <c:auto val="1"/>
        <c:lblAlgn val="ctr"/>
        <c:lblOffset val="100"/>
        <c:noMultiLvlLbl val="0"/>
      </c:catAx>
      <c:valAx>
        <c:axId val="173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61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'(d)'!$C$6</c:f>
              <c:strCache>
                <c:ptCount val="1"/>
                <c:pt idx="0">
                  <c:v>lower bound price for early exercise</c:v>
                </c:pt>
              </c:strCache>
            </c:strRef>
          </c:tx>
          <c:marker>
            <c:symbol val="none"/>
          </c:marker>
          <c:val>
            <c:numRef>
              <c:f>'(d)'!$C$7:$C$506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447.68497170685686</c:v>
                </c:pt>
                <c:pt idx="160">
                  <c:v>451.95229394311792</c:v>
                </c:pt>
                <c:pt idx="161">
                  <c:v>447.68497170685686</c:v>
                </c:pt>
                <c:pt idx="162">
                  <c:v>451.95229394311792</c:v>
                </c:pt>
                <c:pt idx="163">
                  <c:v>447.68497170685686</c:v>
                </c:pt>
                <c:pt idx="164">
                  <c:v>451.95229394311792</c:v>
                </c:pt>
                <c:pt idx="165">
                  <c:v>447.68497170685686</c:v>
                </c:pt>
                <c:pt idx="166">
                  <c:v>451.95229394311792</c:v>
                </c:pt>
                <c:pt idx="167">
                  <c:v>447.68497170685686</c:v>
                </c:pt>
                <c:pt idx="168">
                  <c:v>451.95229394311792</c:v>
                </c:pt>
                <c:pt idx="169">
                  <c:v>447.68497170685686</c:v>
                </c:pt>
                <c:pt idx="170">
                  <c:v>451.95229394311792</c:v>
                </c:pt>
                <c:pt idx="171">
                  <c:v>447.68497170685686</c:v>
                </c:pt>
                <c:pt idx="172">
                  <c:v>451.95229394311792</c:v>
                </c:pt>
                <c:pt idx="173">
                  <c:v>447.68497170685686</c:v>
                </c:pt>
                <c:pt idx="174">
                  <c:v>451.95229394311792</c:v>
                </c:pt>
                <c:pt idx="175">
                  <c:v>447.68497170685686</c:v>
                </c:pt>
                <c:pt idx="176">
                  <c:v>451.95229394311792</c:v>
                </c:pt>
                <c:pt idx="177">
                  <c:v>447.68497170685686</c:v>
                </c:pt>
                <c:pt idx="178">
                  <c:v>451.95229394311792</c:v>
                </c:pt>
                <c:pt idx="179">
                  <c:v>447.68497170685686</c:v>
                </c:pt>
                <c:pt idx="180">
                  <c:v>451.95229394311792</c:v>
                </c:pt>
                <c:pt idx="181">
                  <c:v>447.68497170685686</c:v>
                </c:pt>
                <c:pt idx="182">
                  <c:v>443.45794142023766</c:v>
                </c:pt>
                <c:pt idx="183">
                  <c:v>447.68497170685686</c:v>
                </c:pt>
                <c:pt idx="184">
                  <c:v>443.45794142023766</c:v>
                </c:pt>
                <c:pt idx="185">
                  <c:v>447.68497170685686</c:v>
                </c:pt>
                <c:pt idx="186">
                  <c:v>443.45794142023766</c:v>
                </c:pt>
                <c:pt idx="187">
                  <c:v>447.68497170685686</c:v>
                </c:pt>
                <c:pt idx="188">
                  <c:v>443.45794142023766</c:v>
                </c:pt>
                <c:pt idx="189">
                  <c:v>447.68497170685686</c:v>
                </c:pt>
                <c:pt idx="190">
                  <c:v>443.45794142023766</c:v>
                </c:pt>
                <c:pt idx="191">
                  <c:v>447.68497170685686</c:v>
                </c:pt>
                <c:pt idx="192">
                  <c:v>443.45794142023766</c:v>
                </c:pt>
                <c:pt idx="193">
                  <c:v>447.68497170685686</c:v>
                </c:pt>
                <c:pt idx="194">
                  <c:v>443.45794142023766</c:v>
                </c:pt>
                <c:pt idx="195">
                  <c:v>447.68497170685686</c:v>
                </c:pt>
                <c:pt idx="196">
                  <c:v>443.45794142023766</c:v>
                </c:pt>
                <c:pt idx="197">
                  <c:v>447.68497170685686</c:v>
                </c:pt>
                <c:pt idx="198">
                  <c:v>443.45794142023766</c:v>
                </c:pt>
                <c:pt idx="199">
                  <c:v>447.68497170685686</c:v>
                </c:pt>
                <c:pt idx="200">
                  <c:v>443.45794142023766</c:v>
                </c:pt>
                <c:pt idx="201">
                  <c:v>447.68497170685686</c:v>
                </c:pt>
                <c:pt idx="202">
                  <c:v>443.45794142023766</c:v>
                </c:pt>
                <c:pt idx="203">
                  <c:v>447.68497170685686</c:v>
                </c:pt>
                <c:pt idx="204">
                  <c:v>443.45794142023766</c:v>
                </c:pt>
                <c:pt idx="205">
                  <c:v>447.68497170685686</c:v>
                </c:pt>
                <c:pt idx="206">
                  <c:v>443.45794142023766</c:v>
                </c:pt>
                <c:pt idx="207">
                  <c:v>447.68497170685686</c:v>
                </c:pt>
                <c:pt idx="208">
                  <c:v>443.45794142023766</c:v>
                </c:pt>
                <c:pt idx="209">
                  <c:v>447.68497170685686</c:v>
                </c:pt>
                <c:pt idx="210">
                  <c:v>443.45794142023766</c:v>
                </c:pt>
                <c:pt idx="211">
                  <c:v>447.68497170685686</c:v>
                </c:pt>
                <c:pt idx="212">
                  <c:v>443.45794142023766</c:v>
                </c:pt>
                <c:pt idx="213">
                  <c:v>447.68497170685686</c:v>
                </c:pt>
                <c:pt idx="214">
                  <c:v>443.45794142023766</c:v>
                </c:pt>
                <c:pt idx="215">
                  <c:v>447.68497170685686</c:v>
                </c:pt>
                <c:pt idx="216">
                  <c:v>443.45794142023766</c:v>
                </c:pt>
                <c:pt idx="217">
                  <c:v>447.68497170685686</c:v>
                </c:pt>
                <c:pt idx="218">
                  <c:v>443.45794142023766</c:v>
                </c:pt>
                <c:pt idx="219">
                  <c:v>447.68497170685686</c:v>
                </c:pt>
                <c:pt idx="220">
                  <c:v>443.45794142023766</c:v>
                </c:pt>
                <c:pt idx="221">
                  <c:v>447.68497170685686</c:v>
                </c:pt>
                <c:pt idx="222">
                  <c:v>443.45794142023766</c:v>
                </c:pt>
                <c:pt idx="223">
                  <c:v>447.68497170685686</c:v>
                </c:pt>
                <c:pt idx="224">
                  <c:v>443.45794142023766</c:v>
                </c:pt>
                <c:pt idx="225">
                  <c:v>447.68497170685686</c:v>
                </c:pt>
                <c:pt idx="226">
                  <c:v>443.45794142023766</c:v>
                </c:pt>
                <c:pt idx="227">
                  <c:v>447.68497170685686</c:v>
                </c:pt>
                <c:pt idx="228">
                  <c:v>443.45794142023766</c:v>
                </c:pt>
                <c:pt idx="229">
                  <c:v>447.68497170685686</c:v>
                </c:pt>
                <c:pt idx="230">
                  <c:v>443.45794142023766</c:v>
                </c:pt>
                <c:pt idx="231">
                  <c:v>447.68497170685686</c:v>
                </c:pt>
                <c:pt idx="232">
                  <c:v>443.45794142023766</c:v>
                </c:pt>
                <c:pt idx="233">
                  <c:v>447.68497170685686</c:v>
                </c:pt>
                <c:pt idx="234">
                  <c:v>443.45794142023766</c:v>
                </c:pt>
                <c:pt idx="235">
                  <c:v>447.68497170685686</c:v>
                </c:pt>
                <c:pt idx="236">
                  <c:v>443.45794142023766</c:v>
                </c:pt>
                <c:pt idx="237">
                  <c:v>439.27082264768131</c:v>
                </c:pt>
                <c:pt idx="238">
                  <c:v>443.45794142023766</c:v>
                </c:pt>
                <c:pt idx="239">
                  <c:v>439.27082264768131</c:v>
                </c:pt>
                <c:pt idx="240">
                  <c:v>443.45794142023766</c:v>
                </c:pt>
                <c:pt idx="241">
                  <c:v>439.27082264768131</c:v>
                </c:pt>
                <c:pt idx="242">
                  <c:v>443.45794142023766</c:v>
                </c:pt>
                <c:pt idx="243">
                  <c:v>439.27082264768131</c:v>
                </c:pt>
                <c:pt idx="244">
                  <c:v>443.45794142023766</c:v>
                </c:pt>
                <c:pt idx="245">
                  <c:v>439.27082264768131</c:v>
                </c:pt>
                <c:pt idx="246">
                  <c:v>443.45794142023766</c:v>
                </c:pt>
                <c:pt idx="247">
                  <c:v>439.27082264768131</c:v>
                </c:pt>
                <c:pt idx="248">
                  <c:v>443.45794142023766</c:v>
                </c:pt>
                <c:pt idx="249">
                  <c:v>439.27082264768131</c:v>
                </c:pt>
                <c:pt idx="250">
                  <c:v>443.45794142023766</c:v>
                </c:pt>
                <c:pt idx="251">
                  <c:v>439.27082264768131</c:v>
                </c:pt>
                <c:pt idx="252">
                  <c:v>443.45794142023766</c:v>
                </c:pt>
                <c:pt idx="253">
                  <c:v>439.27082264768131</c:v>
                </c:pt>
                <c:pt idx="254">
                  <c:v>443.45794142023766</c:v>
                </c:pt>
                <c:pt idx="255">
                  <c:v>439.27082264768131</c:v>
                </c:pt>
                <c:pt idx="256">
                  <c:v>443.45794142023766</c:v>
                </c:pt>
                <c:pt idx="257">
                  <c:v>439.27082264768131</c:v>
                </c:pt>
                <c:pt idx="258">
                  <c:v>443.45794142023766</c:v>
                </c:pt>
                <c:pt idx="259">
                  <c:v>439.27082264768131</c:v>
                </c:pt>
                <c:pt idx="260">
                  <c:v>443.45794142023766</c:v>
                </c:pt>
                <c:pt idx="261">
                  <c:v>439.27082264768131</c:v>
                </c:pt>
                <c:pt idx="262">
                  <c:v>443.45794142023766</c:v>
                </c:pt>
                <c:pt idx="263">
                  <c:v>439.27082264768131</c:v>
                </c:pt>
                <c:pt idx="264">
                  <c:v>443.45794142023766</c:v>
                </c:pt>
                <c:pt idx="265">
                  <c:v>439.27082264768131</c:v>
                </c:pt>
                <c:pt idx="266">
                  <c:v>443.45794142023766</c:v>
                </c:pt>
                <c:pt idx="267">
                  <c:v>439.27082264768131</c:v>
                </c:pt>
                <c:pt idx="268">
                  <c:v>443.45794142023766</c:v>
                </c:pt>
                <c:pt idx="269">
                  <c:v>439.27082264768131</c:v>
                </c:pt>
                <c:pt idx="270">
                  <c:v>443.45794142023766</c:v>
                </c:pt>
                <c:pt idx="271">
                  <c:v>439.27082264768131</c:v>
                </c:pt>
                <c:pt idx="272">
                  <c:v>443.45794142023766</c:v>
                </c:pt>
                <c:pt idx="273">
                  <c:v>439.27082264768131</c:v>
                </c:pt>
                <c:pt idx="274">
                  <c:v>443.45794142023766</c:v>
                </c:pt>
                <c:pt idx="275">
                  <c:v>439.27082264768131</c:v>
                </c:pt>
                <c:pt idx="276">
                  <c:v>443.45794142023766</c:v>
                </c:pt>
                <c:pt idx="277">
                  <c:v>439.27082264768131</c:v>
                </c:pt>
                <c:pt idx="278">
                  <c:v>443.45794142023766</c:v>
                </c:pt>
                <c:pt idx="279">
                  <c:v>439.27082264768131</c:v>
                </c:pt>
                <c:pt idx="280">
                  <c:v>443.45794142023766</c:v>
                </c:pt>
                <c:pt idx="281">
                  <c:v>439.27082264768131</c:v>
                </c:pt>
                <c:pt idx="282">
                  <c:v>443.45794142023766</c:v>
                </c:pt>
                <c:pt idx="283">
                  <c:v>439.27082264768131</c:v>
                </c:pt>
                <c:pt idx="284">
                  <c:v>443.45794142023766</c:v>
                </c:pt>
                <c:pt idx="285">
                  <c:v>439.27082264768131</c:v>
                </c:pt>
                <c:pt idx="286">
                  <c:v>435.12323854567194</c:v>
                </c:pt>
                <c:pt idx="287">
                  <c:v>439.27082264768131</c:v>
                </c:pt>
                <c:pt idx="288">
                  <c:v>435.12323854567194</c:v>
                </c:pt>
                <c:pt idx="289">
                  <c:v>439.27082264768131</c:v>
                </c:pt>
                <c:pt idx="290">
                  <c:v>435.12323854567194</c:v>
                </c:pt>
                <c:pt idx="291">
                  <c:v>439.27082264768131</c:v>
                </c:pt>
                <c:pt idx="292">
                  <c:v>435.12323854567194</c:v>
                </c:pt>
                <c:pt idx="293">
                  <c:v>439.27082264768131</c:v>
                </c:pt>
                <c:pt idx="294">
                  <c:v>435.12323854567194</c:v>
                </c:pt>
                <c:pt idx="295">
                  <c:v>439.27082264768131</c:v>
                </c:pt>
                <c:pt idx="296">
                  <c:v>435.12323854567194</c:v>
                </c:pt>
                <c:pt idx="297">
                  <c:v>439.27082264768131</c:v>
                </c:pt>
                <c:pt idx="298">
                  <c:v>435.12323854567194</c:v>
                </c:pt>
                <c:pt idx="299">
                  <c:v>439.27082264768131</c:v>
                </c:pt>
                <c:pt idx="300">
                  <c:v>435.12323854567194</c:v>
                </c:pt>
                <c:pt idx="301">
                  <c:v>439.27082264768131</c:v>
                </c:pt>
                <c:pt idx="302">
                  <c:v>435.12323854567194</c:v>
                </c:pt>
                <c:pt idx="303">
                  <c:v>439.27082264768131</c:v>
                </c:pt>
                <c:pt idx="304">
                  <c:v>435.12323854567194</c:v>
                </c:pt>
                <c:pt idx="305">
                  <c:v>439.27082264768131</c:v>
                </c:pt>
                <c:pt idx="306">
                  <c:v>435.12323854567194</c:v>
                </c:pt>
                <c:pt idx="307">
                  <c:v>439.27082264768131</c:v>
                </c:pt>
                <c:pt idx="308">
                  <c:v>435.12323854567194</c:v>
                </c:pt>
                <c:pt idx="309">
                  <c:v>439.27082264768131</c:v>
                </c:pt>
                <c:pt idx="310">
                  <c:v>435.12323854567194</c:v>
                </c:pt>
                <c:pt idx="311">
                  <c:v>439.27082264768131</c:v>
                </c:pt>
                <c:pt idx="312">
                  <c:v>435.12323854567194</c:v>
                </c:pt>
                <c:pt idx="313">
                  <c:v>439.27082264768131</c:v>
                </c:pt>
                <c:pt idx="314">
                  <c:v>435.12323854567194</c:v>
                </c:pt>
                <c:pt idx="315">
                  <c:v>439.27082264768131</c:v>
                </c:pt>
                <c:pt idx="316">
                  <c:v>435.12323854567194</c:v>
                </c:pt>
                <c:pt idx="317">
                  <c:v>439.27082264768131</c:v>
                </c:pt>
                <c:pt idx="318">
                  <c:v>435.12323854567194</c:v>
                </c:pt>
                <c:pt idx="319">
                  <c:v>439.27082264768131</c:v>
                </c:pt>
                <c:pt idx="320">
                  <c:v>435.12323854567194</c:v>
                </c:pt>
                <c:pt idx="321">
                  <c:v>439.27082264768131</c:v>
                </c:pt>
                <c:pt idx="322">
                  <c:v>435.12323854567194</c:v>
                </c:pt>
                <c:pt idx="323">
                  <c:v>439.27082264768131</c:v>
                </c:pt>
                <c:pt idx="324">
                  <c:v>435.12323854567194</c:v>
                </c:pt>
                <c:pt idx="325">
                  <c:v>439.27082264768131</c:v>
                </c:pt>
                <c:pt idx="326">
                  <c:v>435.12323854567194</c:v>
                </c:pt>
                <c:pt idx="327">
                  <c:v>439.27082264768131</c:v>
                </c:pt>
                <c:pt idx="328">
                  <c:v>435.12323854567194</c:v>
                </c:pt>
                <c:pt idx="329">
                  <c:v>431.01481582884082</c:v>
                </c:pt>
                <c:pt idx="330">
                  <c:v>435.12323854567194</c:v>
                </c:pt>
                <c:pt idx="331">
                  <c:v>431.01481582884082</c:v>
                </c:pt>
                <c:pt idx="332">
                  <c:v>435.12323854567194</c:v>
                </c:pt>
                <c:pt idx="333">
                  <c:v>431.01481582884082</c:v>
                </c:pt>
                <c:pt idx="334">
                  <c:v>435.12323854567194</c:v>
                </c:pt>
                <c:pt idx="335">
                  <c:v>431.01481582884082</c:v>
                </c:pt>
                <c:pt idx="336">
                  <c:v>435.12323854567194</c:v>
                </c:pt>
                <c:pt idx="337">
                  <c:v>431.01481582884082</c:v>
                </c:pt>
                <c:pt idx="338">
                  <c:v>435.12323854567194</c:v>
                </c:pt>
                <c:pt idx="339">
                  <c:v>431.01481582884082</c:v>
                </c:pt>
                <c:pt idx="340">
                  <c:v>435.12323854567194</c:v>
                </c:pt>
                <c:pt idx="341">
                  <c:v>431.01481582884082</c:v>
                </c:pt>
                <c:pt idx="342">
                  <c:v>435.12323854567194</c:v>
                </c:pt>
                <c:pt idx="343">
                  <c:v>431.01481582884082</c:v>
                </c:pt>
                <c:pt idx="344">
                  <c:v>435.12323854567194</c:v>
                </c:pt>
                <c:pt idx="345">
                  <c:v>431.01481582884082</c:v>
                </c:pt>
                <c:pt idx="346">
                  <c:v>435.12323854567194</c:v>
                </c:pt>
                <c:pt idx="347">
                  <c:v>431.01481582884082</c:v>
                </c:pt>
                <c:pt idx="348">
                  <c:v>435.12323854567194</c:v>
                </c:pt>
                <c:pt idx="349">
                  <c:v>431.01481582884082</c:v>
                </c:pt>
                <c:pt idx="350">
                  <c:v>435.12323854567194</c:v>
                </c:pt>
                <c:pt idx="351">
                  <c:v>431.01481582884082</c:v>
                </c:pt>
                <c:pt idx="352">
                  <c:v>435.12323854567194</c:v>
                </c:pt>
                <c:pt idx="353">
                  <c:v>431.01481582884082</c:v>
                </c:pt>
                <c:pt idx="354">
                  <c:v>435.12323854567194</c:v>
                </c:pt>
                <c:pt idx="355">
                  <c:v>431.01481582884082</c:v>
                </c:pt>
                <c:pt idx="356">
                  <c:v>435.12323854567194</c:v>
                </c:pt>
                <c:pt idx="357">
                  <c:v>431.01481582884082</c:v>
                </c:pt>
                <c:pt idx="358">
                  <c:v>435.12323854567194</c:v>
                </c:pt>
                <c:pt idx="359">
                  <c:v>431.01481582884082</c:v>
                </c:pt>
                <c:pt idx="360">
                  <c:v>435.12323854567194</c:v>
                </c:pt>
                <c:pt idx="361">
                  <c:v>431.01481582884082</c:v>
                </c:pt>
                <c:pt idx="362">
                  <c:v>435.12323854567194</c:v>
                </c:pt>
                <c:pt idx="363">
                  <c:v>431.01481582884082</c:v>
                </c:pt>
                <c:pt idx="364">
                  <c:v>435.12323854567194</c:v>
                </c:pt>
                <c:pt idx="365">
                  <c:v>431.01481582884082</c:v>
                </c:pt>
                <c:pt idx="366">
                  <c:v>435.12323854567194</c:v>
                </c:pt>
                <c:pt idx="367">
                  <c:v>431.01481582884082</c:v>
                </c:pt>
                <c:pt idx="368">
                  <c:v>426.94518473637009</c:v>
                </c:pt>
                <c:pt idx="369">
                  <c:v>431.01481582884082</c:v>
                </c:pt>
                <c:pt idx="370">
                  <c:v>426.94518473637009</c:v>
                </c:pt>
                <c:pt idx="371">
                  <c:v>431.01481582884082</c:v>
                </c:pt>
                <c:pt idx="372">
                  <c:v>426.94518473637009</c:v>
                </c:pt>
                <c:pt idx="373">
                  <c:v>431.01481582884082</c:v>
                </c:pt>
                <c:pt idx="374">
                  <c:v>426.94518473637009</c:v>
                </c:pt>
                <c:pt idx="375">
                  <c:v>431.01481582884082</c:v>
                </c:pt>
                <c:pt idx="376">
                  <c:v>426.94518473637009</c:v>
                </c:pt>
                <c:pt idx="377">
                  <c:v>431.01481582884082</c:v>
                </c:pt>
                <c:pt idx="378">
                  <c:v>426.94518473637009</c:v>
                </c:pt>
                <c:pt idx="379">
                  <c:v>431.01481582884082</c:v>
                </c:pt>
                <c:pt idx="380">
                  <c:v>426.94518473637009</c:v>
                </c:pt>
                <c:pt idx="381">
                  <c:v>431.01481582884082</c:v>
                </c:pt>
                <c:pt idx="382">
                  <c:v>426.94518473637009</c:v>
                </c:pt>
                <c:pt idx="383">
                  <c:v>431.01481582884082</c:v>
                </c:pt>
                <c:pt idx="384">
                  <c:v>426.94518473637009</c:v>
                </c:pt>
                <c:pt idx="385">
                  <c:v>431.01481582884082</c:v>
                </c:pt>
                <c:pt idx="386">
                  <c:v>426.94518473637009</c:v>
                </c:pt>
                <c:pt idx="387">
                  <c:v>431.01481582884082</c:v>
                </c:pt>
                <c:pt idx="388">
                  <c:v>426.94518473637009</c:v>
                </c:pt>
                <c:pt idx="389">
                  <c:v>431.01481582884082</c:v>
                </c:pt>
                <c:pt idx="390">
                  <c:v>426.94518473637009</c:v>
                </c:pt>
                <c:pt idx="391">
                  <c:v>431.01481582884082</c:v>
                </c:pt>
                <c:pt idx="392">
                  <c:v>426.94518473637009</c:v>
                </c:pt>
                <c:pt idx="393">
                  <c:v>431.01481582884082</c:v>
                </c:pt>
                <c:pt idx="394">
                  <c:v>426.94518473637009</c:v>
                </c:pt>
                <c:pt idx="395">
                  <c:v>431.01481582884082</c:v>
                </c:pt>
                <c:pt idx="396">
                  <c:v>426.94518473637009</c:v>
                </c:pt>
                <c:pt idx="397">
                  <c:v>431.01481582884082</c:v>
                </c:pt>
                <c:pt idx="398">
                  <c:v>426.94518473637009</c:v>
                </c:pt>
                <c:pt idx="399">
                  <c:v>431.01481582884082</c:v>
                </c:pt>
                <c:pt idx="400">
                  <c:v>426.94518473637009</c:v>
                </c:pt>
                <c:pt idx="401">
                  <c:v>431.01481582884082</c:v>
                </c:pt>
                <c:pt idx="402">
                  <c:v>426.94518473637009</c:v>
                </c:pt>
                <c:pt idx="403">
                  <c:v>422.91397899871458</c:v>
                </c:pt>
                <c:pt idx="404">
                  <c:v>426.94518473637009</c:v>
                </c:pt>
                <c:pt idx="405">
                  <c:v>422.91397899871458</c:v>
                </c:pt>
                <c:pt idx="406">
                  <c:v>426.94518473637009</c:v>
                </c:pt>
                <c:pt idx="407">
                  <c:v>422.91397899871458</c:v>
                </c:pt>
                <c:pt idx="408">
                  <c:v>426.94518473637009</c:v>
                </c:pt>
                <c:pt idx="409">
                  <c:v>422.91397899871458</c:v>
                </c:pt>
                <c:pt idx="410">
                  <c:v>426.94518473637009</c:v>
                </c:pt>
                <c:pt idx="411">
                  <c:v>422.91397899871458</c:v>
                </c:pt>
                <c:pt idx="412">
                  <c:v>426.94518473637009</c:v>
                </c:pt>
                <c:pt idx="413">
                  <c:v>422.91397899871458</c:v>
                </c:pt>
                <c:pt idx="414">
                  <c:v>426.94518473637009</c:v>
                </c:pt>
                <c:pt idx="415">
                  <c:v>422.91397899871458</c:v>
                </c:pt>
                <c:pt idx="416">
                  <c:v>426.94518473637009</c:v>
                </c:pt>
                <c:pt idx="417">
                  <c:v>422.91397899871458</c:v>
                </c:pt>
                <c:pt idx="418">
                  <c:v>426.94518473637009</c:v>
                </c:pt>
                <c:pt idx="419">
                  <c:v>422.91397899871458</c:v>
                </c:pt>
                <c:pt idx="420">
                  <c:v>426.94518473637009</c:v>
                </c:pt>
                <c:pt idx="421">
                  <c:v>422.91397899871458</c:v>
                </c:pt>
                <c:pt idx="422">
                  <c:v>426.94518473637009</c:v>
                </c:pt>
                <c:pt idx="423">
                  <c:v>422.91397899871458</c:v>
                </c:pt>
                <c:pt idx="424">
                  <c:v>426.94518473637009</c:v>
                </c:pt>
                <c:pt idx="425">
                  <c:v>422.91397899871458</c:v>
                </c:pt>
                <c:pt idx="426">
                  <c:v>426.94518473637009</c:v>
                </c:pt>
                <c:pt idx="427">
                  <c:v>422.91397899871458</c:v>
                </c:pt>
                <c:pt idx="428">
                  <c:v>426.94518473637009</c:v>
                </c:pt>
                <c:pt idx="429">
                  <c:v>422.91397899871458</c:v>
                </c:pt>
                <c:pt idx="430">
                  <c:v>426.94518473637009</c:v>
                </c:pt>
                <c:pt idx="431">
                  <c:v>422.91397899871458</c:v>
                </c:pt>
                <c:pt idx="432">
                  <c:v>418.92083580463674</c:v>
                </c:pt>
                <c:pt idx="433">
                  <c:v>422.91397899871458</c:v>
                </c:pt>
                <c:pt idx="434">
                  <c:v>418.92083580463674</c:v>
                </c:pt>
                <c:pt idx="435">
                  <c:v>422.91397899871458</c:v>
                </c:pt>
                <c:pt idx="436">
                  <c:v>418.92083580463674</c:v>
                </c:pt>
                <c:pt idx="437">
                  <c:v>422.91397899871458</c:v>
                </c:pt>
                <c:pt idx="438">
                  <c:v>418.92083580463674</c:v>
                </c:pt>
                <c:pt idx="439">
                  <c:v>422.91397899871458</c:v>
                </c:pt>
                <c:pt idx="440">
                  <c:v>418.92083580463674</c:v>
                </c:pt>
                <c:pt idx="441">
                  <c:v>422.91397899871458</c:v>
                </c:pt>
                <c:pt idx="442">
                  <c:v>418.92083580463674</c:v>
                </c:pt>
                <c:pt idx="443">
                  <c:v>422.91397899871458</c:v>
                </c:pt>
                <c:pt idx="444">
                  <c:v>418.92083580463674</c:v>
                </c:pt>
                <c:pt idx="445">
                  <c:v>422.91397899871458</c:v>
                </c:pt>
                <c:pt idx="446">
                  <c:v>418.92083580463674</c:v>
                </c:pt>
                <c:pt idx="447">
                  <c:v>422.91397899871458</c:v>
                </c:pt>
                <c:pt idx="448">
                  <c:v>418.92083580463674</c:v>
                </c:pt>
                <c:pt idx="449">
                  <c:v>422.91397899871458</c:v>
                </c:pt>
                <c:pt idx="450">
                  <c:v>418.92083580463674</c:v>
                </c:pt>
                <c:pt idx="451">
                  <c:v>422.91397899871458</c:v>
                </c:pt>
                <c:pt idx="452">
                  <c:v>418.92083580463674</c:v>
                </c:pt>
                <c:pt idx="453">
                  <c:v>422.91397899871458</c:v>
                </c:pt>
                <c:pt idx="454">
                  <c:v>418.92083580463674</c:v>
                </c:pt>
                <c:pt idx="455">
                  <c:v>414.96539576855366</c:v>
                </c:pt>
                <c:pt idx="456">
                  <c:v>418.92083580463674</c:v>
                </c:pt>
                <c:pt idx="457">
                  <c:v>414.96539576855366</c:v>
                </c:pt>
                <c:pt idx="458">
                  <c:v>418.92083580463674</c:v>
                </c:pt>
                <c:pt idx="459">
                  <c:v>414.96539576855366</c:v>
                </c:pt>
                <c:pt idx="460">
                  <c:v>418.92083580463674</c:v>
                </c:pt>
                <c:pt idx="461">
                  <c:v>414.96539576855366</c:v>
                </c:pt>
                <c:pt idx="462">
                  <c:v>418.92083580463674</c:v>
                </c:pt>
                <c:pt idx="463">
                  <c:v>414.96539576855366</c:v>
                </c:pt>
                <c:pt idx="464">
                  <c:v>418.92083580463674</c:v>
                </c:pt>
                <c:pt idx="465">
                  <c:v>414.96539576855366</c:v>
                </c:pt>
                <c:pt idx="466">
                  <c:v>418.92083580463674</c:v>
                </c:pt>
                <c:pt idx="467">
                  <c:v>414.96539576855366</c:v>
                </c:pt>
                <c:pt idx="468">
                  <c:v>418.92083580463674</c:v>
                </c:pt>
                <c:pt idx="469">
                  <c:v>414.96539576855366</c:v>
                </c:pt>
                <c:pt idx="470">
                  <c:v>418.92083580463674</c:v>
                </c:pt>
                <c:pt idx="471">
                  <c:v>414.96539576855366</c:v>
                </c:pt>
                <c:pt idx="472">
                  <c:v>418.92083580463674</c:v>
                </c:pt>
                <c:pt idx="473">
                  <c:v>414.96539576855366</c:v>
                </c:pt>
                <c:pt idx="474">
                  <c:v>411.04730289819236</c:v>
                </c:pt>
                <c:pt idx="475">
                  <c:v>414.96539576855366</c:v>
                </c:pt>
                <c:pt idx="476">
                  <c:v>411.04730289819236</c:v>
                </c:pt>
                <c:pt idx="477">
                  <c:v>414.96539576855366</c:v>
                </c:pt>
                <c:pt idx="478">
                  <c:v>411.04730289819236</c:v>
                </c:pt>
                <c:pt idx="479">
                  <c:v>414.96539576855366</c:v>
                </c:pt>
                <c:pt idx="480">
                  <c:v>411.04730289819236</c:v>
                </c:pt>
                <c:pt idx="481">
                  <c:v>414.96539576855366</c:v>
                </c:pt>
                <c:pt idx="482">
                  <c:v>411.04730289819236</c:v>
                </c:pt>
                <c:pt idx="483">
                  <c:v>414.96539576855366</c:v>
                </c:pt>
                <c:pt idx="484">
                  <c:v>411.04730289819236</c:v>
                </c:pt>
                <c:pt idx="485">
                  <c:v>414.96539576855366</c:v>
                </c:pt>
                <c:pt idx="486">
                  <c:v>411.04730289819236</c:v>
                </c:pt>
                <c:pt idx="487">
                  <c:v>414.96539576855366</c:v>
                </c:pt>
                <c:pt idx="488">
                  <c:v>411.04730289819236</c:v>
                </c:pt>
                <c:pt idx="489">
                  <c:v>407.16620456254952</c:v>
                </c:pt>
                <c:pt idx="490">
                  <c:v>411.04730289819236</c:v>
                </c:pt>
                <c:pt idx="491">
                  <c:v>407.16620456254952</c:v>
                </c:pt>
                <c:pt idx="492">
                  <c:v>411.04730289819236</c:v>
                </c:pt>
                <c:pt idx="493">
                  <c:v>407.16620456254952</c:v>
                </c:pt>
                <c:pt idx="494">
                  <c:v>411.04730289819236</c:v>
                </c:pt>
                <c:pt idx="495">
                  <c:v>407.16620456254952</c:v>
                </c:pt>
                <c:pt idx="496">
                  <c:v>411.04730289819236</c:v>
                </c:pt>
                <c:pt idx="497">
                  <c:v>407.16620456254952</c:v>
                </c:pt>
                <c:pt idx="498">
                  <c:v>403.32175146015538</c:v>
                </c:pt>
                <c:pt idx="499">
                  <c:v>407.16620456254952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90016"/>
        <c:axId val="173591552"/>
      </c:lineChart>
      <c:catAx>
        <c:axId val="173590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91552"/>
        <c:crosses val="autoZero"/>
        <c:auto val="1"/>
        <c:lblAlgn val="ctr"/>
        <c:lblOffset val="100"/>
        <c:noMultiLvlLbl val="0"/>
      </c:catAx>
      <c:valAx>
        <c:axId val="1735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590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'(e)'!$C$8</c:f>
              <c:strCache>
                <c:ptCount val="1"/>
                <c:pt idx="0">
                  <c:v>lower bound price for early exercise</c:v>
                </c:pt>
              </c:strCache>
            </c:strRef>
          </c:tx>
          <c:marker>
            <c:symbol val="none"/>
          </c:marker>
          <c:val>
            <c:numRef>
              <c:f>'(e)'!$C$9:$C$508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157.67534948743793</c:v>
                </c:pt>
                <c:pt idx="50">
                  <c:v>159.17830707480712</c:v>
                </c:pt>
                <c:pt idx="51">
                  <c:v>157.67534948743793</c:v>
                </c:pt>
                <c:pt idx="52">
                  <c:v>159.17830707480712</c:v>
                </c:pt>
                <c:pt idx="53">
                  <c:v>157.67534948743793</c:v>
                </c:pt>
                <c:pt idx="54">
                  <c:v>159.17830707480712</c:v>
                </c:pt>
                <c:pt idx="55">
                  <c:v>157.67534948743793</c:v>
                </c:pt>
                <c:pt idx="56">
                  <c:v>159.17830707480712</c:v>
                </c:pt>
                <c:pt idx="57">
                  <c:v>157.67534948743793</c:v>
                </c:pt>
                <c:pt idx="58">
                  <c:v>159.17830707480712</c:v>
                </c:pt>
                <c:pt idx="59">
                  <c:v>157.67534948743793</c:v>
                </c:pt>
                <c:pt idx="60">
                  <c:v>159.17830707480712</c:v>
                </c:pt>
                <c:pt idx="61">
                  <c:v>157.67534948743793</c:v>
                </c:pt>
                <c:pt idx="62">
                  <c:v>159.17830707480712</c:v>
                </c:pt>
                <c:pt idx="63">
                  <c:v>157.67534948743793</c:v>
                </c:pt>
                <c:pt idx="64">
                  <c:v>159.17830707480712</c:v>
                </c:pt>
                <c:pt idx="65">
                  <c:v>157.67534948743793</c:v>
                </c:pt>
                <c:pt idx="66">
                  <c:v>159.17830707480712</c:v>
                </c:pt>
                <c:pt idx="67">
                  <c:v>157.67534948743793</c:v>
                </c:pt>
                <c:pt idx="68">
                  <c:v>159.17830707480712</c:v>
                </c:pt>
                <c:pt idx="69">
                  <c:v>157.67534948743793</c:v>
                </c:pt>
                <c:pt idx="70">
                  <c:v>156.1865827879538</c:v>
                </c:pt>
                <c:pt idx="71">
                  <c:v>157.67534948743793</c:v>
                </c:pt>
                <c:pt idx="72">
                  <c:v>156.1865827879538</c:v>
                </c:pt>
                <c:pt idx="73">
                  <c:v>157.67534948743793</c:v>
                </c:pt>
                <c:pt idx="74">
                  <c:v>156.1865827879538</c:v>
                </c:pt>
                <c:pt idx="75">
                  <c:v>157.67534948743793</c:v>
                </c:pt>
                <c:pt idx="76">
                  <c:v>156.1865827879538</c:v>
                </c:pt>
                <c:pt idx="77">
                  <c:v>157.67534948743793</c:v>
                </c:pt>
                <c:pt idx="78">
                  <c:v>156.1865827879538</c:v>
                </c:pt>
                <c:pt idx="79">
                  <c:v>157.67534948743793</c:v>
                </c:pt>
                <c:pt idx="80">
                  <c:v>156.1865827879538</c:v>
                </c:pt>
                <c:pt idx="81">
                  <c:v>157.67534948743793</c:v>
                </c:pt>
                <c:pt idx="82">
                  <c:v>156.1865827879538</c:v>
                </c:pt>
                <c:pt idx="83">
                  <c:v>157.67534948743793</c:v>
                </c:pt>
                <c:pt idx="84">
                  <c:v>156.1865827879538</c:v>
                </c:pt>
                <c:pt idx="85">
                  <c:v>157.67534948743793</c:v>
                </c:pt>
                <c:pt idx="86">
                  <c:v>156.1865827879538</c:v>
                </c:pt>
                <c:pt idx="87">
                  <c:v>157.67534948743793</c:v>
                </c:pt>
                <c:pt idx="88">
                  <c:v>156.1865827879538</c:v>
                </c:pt>
                <c:pt idx="89">
                  <c:v>157.67534948743793</c:v>
                </c:pt>
                <c:pt idx="90">
                  <c:v>156.1865827879538</c:v>
                </c:pt>
                <c:pt idx="91">
                  <c:v>154.71187298634686</c:v>
                </c:pt>
                <c:pt idx="92">
                  <c:v>156.1865827879538</c:v>
                </c:pt>
                <c:pt idx="93">
                  <c:v>154.71187298634686</c:v>
                </c:pt>
                <c:pt idx="94">
                  <c:v>156.1865827879538</c:v>
                </c:pt>
                <c:pt idx="95">
                  <c:v>154.71187298634686</c:v>
                </c:pt>
                <c:pt idx="96">
                  <c:v>156.1865827879538</c:v>
                </c:pt>
                <c:pt idx="97">
                  <c:v>154.71187298634686</c:v>
                </c:pt>
                <c:pt idx="98">
                  <c:v>156.1865827879538</c:v>
                </c:pt>
                <c:pt idx="99">
                  <c:v>154.71187298634686</c:v>
                </c:pt>
                <c:pt idx="100">
                  <c:v>156.1865827879538</c:v>
                </c:pt>
                <c:pt idx="101">
                  <c:v>154.71187298634686</c:v>
                </c:pt>
                <c:pt idx="102">
                  <c:v>156.1865827879538</c:v>
                </c:pt>
                <c:pt idx="103">
                  <c:v>154.71187298634686</c:v>
                </c:pt>
                <c:pt idx="104">
                  <c:v>156.1865827879538</c:v>
                </c:pt>
                <c:pt idx="105">
                  <c:v>154.71187298634686</c:v>
                </c:pt>
                <c:pt idx="106">
                  <c:v>156.1865827879538</c:v>
                </c:pt>
                <c:pt idx="107">
                  <c:v>154.71187298634686</c:v>
                </c:pt>
                <c:pt idx="108">
                  <c:v>156.1865827879538</c:v>
                </c:pt>
                <c:pt idx="109">
                  <c:v>154.71187298634686</c:v>
                </c:pt>
                <c:pt idx="110">
                  <c:v>153.25108735773952</c:v>
                </c:pt>
                <c:pt idx="111">
                  <c:v>154.71187298634686</c:v>
                </c:pt>
                <c:pt idx="112">
                  <c:v>153.25108735773952</c:v>
                </c:pt>
                <c:pt idx="113">
                  <c:v>154.71187298634686</c:v>
                </c:pt>
                <c:pt idx="114">
                  <c:v>153.25108735773952</c:v>
                </c:pt>
                <c:pt idx="115">
                  <c:v>154.71187298634686</c:v>
                </c:pt>
                <c:pt idx="116">
                  <c:v>153.25108735773952</c:v>
                </c:pt>
                <c:pt idx="117">
                  <c:v>154.71187298634686</c:v>
                </c:pt>
                <c:pt idx="118">
                  <c:v>153.25108735773952</c:v>
                </c:pt>
                <c:pt idx="119">
                  <c:v>154.71187298634686</c:v>
                </c:pt>
                <c:pt idx="120">
                  <c:v>153.25108735773952</c:v>
                </c:pt>
                <c:pt idx="121">
                  <c:v>154.71187298634686</c:v>
                </c:pt>
                <c:pt idx="122">
                  <c:v>153.25108735773952</c:v>
                </c:pt>
                <c:pt idx="123">
                  <c:v>154.71187298634686</c:v>
                </c:pt>
                <c:pt idx="124">
                  <c:v>153.25108735773952</c:v>
                </c:pt>
                <c:pt idx="125">
                  <c:v>154.71187298634686</c:v>
                </c:pt>
                <c:pt idx="126">
                  <c:v>153.25108735773952</c:v>
                </c:pt>
                <c:pt idx="127">
                  <c:v>154.71187298634686</c:v>
                </c:pt>
                <c:pt idx="128">
                  <c:v>153.25108735773952</c:v>
                </c:pt>
                <c:pt idx="129">
                  <c:v>154.71187298634686</c:v>
                </c:pt>
                <c:pt idx="130">
                  <c:v>153.25108735773952</c:v>
                </c:pt>
                <c:pt idx="131">
                  <c:v>151.80409443043916</c:v>
                </c:pt>
                <c:pt idx="132">
                  <c:v>153.25108735773952</c:v>
                </c:pt>
                <c:pt idx="133">
                  <c:v>151.80409443043916</c:v>
                </c:pt>
                <c:pt idx="134">
                  <c:v>153.25108735773952</c:v>
                </c:pt>
                <c:pt idx="135">
                  <c:v>151.80409443043916</c:v>
                </c:pt>
                <c:pt idx="136">
                  <c:v>153.25108735773952</c:v>
                </c:pt>
                <c:pt idx="137">
                  <c:v>151.80409443043916</c:v>
                </c:pt>
                <c:pt idx="138">
                  <c:v>153.25108735773952</c:v>
                </c:pt>
                <c:pt idx="139">
                  <c:v>151.80409443043916</c:v>
                </c:pt>
                <c:pt idx="140">
                  <c:v>153.25108735773952</c:v>
                </c:pt>
                <c:pt idx="141">
                  <c:v>151.80409443043916</c:v>
                </c:pt>
                <c:pt idx="142">
                  <c:v>153.25108735773952</c:v>
                </c:pt>
                <c:pt idx="143">
                  <c:v>151.80409443043916</c:v>
                </c:pt>
                <c:pt idx="144">
                  <c:v>153.25108735773952</c:v>
                </c:pt>
                <c:pt idx="145">
                  <c:v>151.80409443043916</c:v>
                </c:pt>
                <c:pt idx="146">
                  <c:v>153.25108735773952</c:v>
                </c:pt>
                <c:pt idx="147">
                  <c:v>151.80409443043916</c:v>
                </c:pt>
                <c:pt idx="148">
                  <c:v>153.25108735773952</c:v>
                </c:pt>
                <c:pt idx="149">
                  <c:v>151.80409443043916</c:v>
                </c:pt>
                <c:pt idx="150">
                  <c:v>150.37076397410561</c:v>
                </c:pt>
                <c:pt idx="151">
                  <c:v>151.80409443043916</c:v>
                </c:pt>
                <c:pt idx="152">
                  <c:v>150.37076397410561</c:v>
                </c:pt>
                <c:pt idx="153">
                  <c:v>151.80409443043916</c:v>
                </c:pt>
                <c:pt idx="154">
                  <c:v>150.37076397410561</c:v>
                </c:pt>
                <c:pt idx="155">
                  <c:v>151.80409443043916</c:v>
                </c:pt>
                <c:pt idx="156">
                  <c:v>150.37076397410561</c:v>
                </c:pt>
                <c:pt idx="157">
                  <c:v>151.80409443043916</c:v>
                </c:pt>
                <c:pt idx="158">
                  <c:v>150.37076397410561</c:v>
                </c:pt>
                <c:pt idx="159">
                  <c:v>151.80409443043916</c:v>
                </c:pt>
                <c:pt idx="160">
                  <c:v>150.37076397410561</c:v>
                </c:pt>
                <c:pt idx="161">
                  <c:v>151.80409443043916</c:v>
                </c:pt>
                <c:pt idx="162">
                  <c:v>150.37076397410561</c:v>
                </c:pt>
                <c:pt idx="163">
                  <c:v>151.80409443043916</c:v>
                </c:pt>
                <c:pt idx="164">
                  <c:v>150.37076397410561</c:v>
                </c:pt>
                <c:pt idx="165">
                  <c:v>151.80409443043916</c:v>
                </c:pt>
                <c:pt idx="166">
                  <c:v>150.37076397410561</c:v>
                </c:pt>
                <c:pt idx="167">
                  <c:v>151.80409443043916</c:v>
                </c:pt>
                <c:pt idx="168">
                  <c:v>150.37076397410561</c:v>
                </c:pt>
                <c:pt idx="169">
                  <c:v>148.95096698803033</c:v>
                </c:pt>
                <c:pt idx="170">
                  <c:v>150.37076397410561</c:v>
                </c:pt>
                <c:pt idx="171">
                  <c:v>148.95096698803033</c:v>
                </c:pt>
                <c:pt idx="172">
                  <c:v>150.37076397410561</c:v>
                </c:pt>
                <c:pt idx="173">
                  <c:v>148.95096698803033</c:v>
                </c:pt>
                <c:pt idx="174">
                  <c:v>150.37076397410561</c:v>
                </c:pt>
                <c:pt idx="175">
                  <c:v>148.95096698803033</c:v>
                </c:pt>
                <c:pt idx="176">
                  <c:v>150.37076397410561</c:v>
                </c:pt>
                <c:pt idx="177">
                  <c:v>148.95096698803033</c:v>
                </c:pt>
                <c:pt idx="178">
                  <c:v>150.37076397410561</c:v>
                </c:pt>
                <c:pt idx="179">
                  <c:v>148.95096698803033</c:v>
                </c:pt>
                <c:pt idx="180">
                  <c:v>150.37076397410561</c:v>
                </c:pt>
                <c:pt idx="181">
                  <c:v>148.95096698803033</c:v>
                </c:pt>
                <c:pt idx="182">
                  <c:v>150.37076397410561</c:v>
                </c:pt>
                <c:pt idx="183">
                  <c:v>148.95096698803033</c:v>
                </c:pt>
                <c:pt idx="184">
                  <c:v>150.37076397410561</c:v>
                </c:pt>
                <c:pt idx="185">
                  <c:v>148.95096698803033</c:v>
                </c:pt>
                <c:pt idx="186">
                  <c:v>147.54457568952614</c:v>
                </c:pt>
                <c:pt idx="187">
                  <c:v>148.95096698803033</c:v>
                </c:pt>
                <c:pt idx="188">
                  <c:v>147.54457568952614</c:v>
                </c:pt>
                <c:pt idx="189">
                  <c:v>148.95096698803033</c:v>
                </c:pt>
                <c:pt idx="190">
                  <c:v>147.54457568952614</c:v>
                </c:pt>
                <c:pt idx="191">
                  <c:v>148.95096698803033</c:v>
                </c:pt>
                <c:pt idx="192">
                  <c:v>147.54457568952614</c:v>
                </c:pt>
                <c:pt idx="193">
                  <c:v>148.95096698803033</c:v>
                </c:pt>
                <c:pt idx="194">
                  <c:v>147.54457568952614</c:v>
                </c:pt>
                <c:pt idx="195">
                  <c:v>148.95096698803033</c:v>
                </c:pt>
                <c:pt idx="196">
                  <c:v>147.54457568952614</c:v>
                </c:pt>
                <c:pt idx="197">
                  <c:v>148.95096698803033</c:v>
                </c:pt>
                <c:pt idx="198">
                  <c:v>147.54457568952614</c:v>
                </c:pt>
                <c:pt idx="199">
                  <c:v>148.95096698803033</c:v>
                </c:pt>
                <c:pt idx="200">
                  <c:v>147.54457568952614</c:v>
                </c:pt>
                <c:pt idx="201">
                  <c:v>148.95096698803033</c:v>
                </c:pt>
                <c:pt idx="202">
                  <c:v>147.54457568952614</c:v>
                </c:pt>
                <c:pt idx="203">
                  <c:v>148.95096698803033</c:v>
                </c:pt>
                <c:pt idx="204">
                  <c:v>147.54457568952614</c:v>
                </c:pt>
                <c:pt idx="205">
                  <c:v>146.15146350242691</c:v>
                </c:pt>
                <c:pt idx="206">
                  <c:v>147.54457568952614</c:v>
                </c:pt>
                <c:pt idx="207">
                  <c:v>146.15146350242691</c:v>
                </c:pt>
                <c:pt idx="208">
                  <c:v>147.54457568952614</c:v>
                </c:pt>
                <c:pt idx="209">
                  <c:v>146.15146350242691</c:v>
                </c:pt>
                <c:pt idx="210">
                  <c:v>147.54457568952614</c:v>
                </c:pt>
                <c:pt idx="211">
                  <c:v>146.15146350242691</c:v>
                </c:pt>
                <c:pt idx="212">
                  <c:v>147.54457568952614</c:v>
                </c:pt>
                <c:pt idx="213">
                  <c:v>146.15146350242691</c:v>
                </c:pt>
                <c:pt idx="214">
                  <c:v>147.54457568952614</c:v>
                </c:pt>
                <c:pt idx="215">
                  <c:v>146.15146350242691</c:v>
                </c:pt>
                <c:pt idx="216">
                  <c:v>147.54457568952614</c:v>
                </c:pt>
                <c:pt idx="217">
                  <c:v>146.15146350242691</c:v>
                </c:pt>
                <c:pt idx="218">
                  <c:v>147.54457568952614</c:v>
                </c:pt>
                <c:pt idx="219">
                  <c:v>146.15146350242691</c:v>
                </c:pt>
                <c:pt idx="220">
                  <c:v>147.54457568952614</c:v>
                </c:pt>
                <c:pt idx="221">
                  <c:v>146.15146350242691</c:v>
                </c:pt>
                <c:pt idx="222">
                  <c:v>144.77150504569542</c:v>
                </c:pt>
                <c:pt idx="223">
                  <c:v>146.15146350242691</c:v>
                </c:pt>
                <c:pt idx="224">
                  <c:v>144.77150504569542</c:v>
                </c:pt>
                <c:pt idx="225">
                  <c:v>146.15146350242691</c:v>
                </c:pt>
                <c:pt idx="226">
                  <c:v>144.77150504569542</c:v>
                </c:pt>
                <c:pt idx="227">
                  <c:v>146.15146350242691</c:v>
                </c:pt>
                <c:pt idx="228">
                  <c:v>144.77150504569542</c:v>
                </c:pt>
                <c:pt idx="229">
                  <c:v>146.15146350242691</c:v>
                </c:pt>
                <c:pt idx="230">
                  <c:v>144.77150504569542</c:v>
                </c:pt>
                <c:pt idx="231">
                  <c:v>146.15146350242691</c:v>
                </c:pt>
                <c:pt idx="232">
                  <c:v>144.77150504569542</c:v>
                </c:pt>
                <c:pt idx="233">
                  <c:v>146.15146350242691</c:v>
                </c:pt>
                <c:pt idx="234">
                  <c:v>144.77150504569542</c:v>
                </c:pt>
                <c:pt idx="235">
                  <c:v>146.15146350242691</c:v>
                </c:pt>
                <c:pt idx="236">
                  <c:v>144.77150504569542</c:v>
                </c:pt>
                <c:pt idx="237">
                  <c:v>143.4045761221391</c:v>
                </c:pt>
                <c:pt idx="238">
                  <c:v>144.77150504569542</c:v>
                </c:pt>
                <c:pt idx="239">
                  <c:v>143.4045761221391</c:v>
                </c:pt>
                <c:pt idx="240">
                  <c:v>144.77150504569542</c:v>
                </c:pt>
                <c:pt idx="241">
                  <c:v>143.4045761221391</c:v>
                </c:pt>
                <c:pt idx="242">
                  <c:v>144.77150504569542</c:v>
                </c:pt>
                <c:pt idx="243">
                  <c:v>143.4045761221391</c:v>
                </c:pt>
                <c:pt idx="244">
                  <c:v>144.77150504569542</c:v>
                </c:pt>
                <c:pt idx="245">
                  <c:v>143.4045761221391</c:v>
                </c:pt>
                <c:pt idx="246">
                  <c:v>144.77150504569542</c:v>
                </c:pt>
                <c:pt idx="247">
                  <c:v>143.4045761221391</c:v>
                </c:pt>
                <c:pt idx="248">
                  <c:v>144.77150504569542</c:v>
                </c:pt>
                <c:pt idx="249">
                  <c:v>143.4045761221391</c:v>
                </c:pt>
                <c:pt idx="250">
                  <c:v>144.77150504569542</c:v>
                </c:pt>
                <c:pt idx="251">
                  <c:v>143.4045761221391</c:v>
                </c:pt>
                <c:pt idx="252">
                  <c:v>144.77150504569542</c:v>
                </c:pt>
                <c:pt idx="253">
                  <c:v>143.4045761221391</c:v>
                </c:pt>
                <c:pt idx="254">
                  <c:v>142.05055370723215</c:v>
                </c:pt>
                <c:pt idx="255">
                  <c:v>143.4045761221391</c:v>
                </c:pt>
                <c:pt idx="256">
                  <c:v>142.05055370723215</c:v>
                </c:pt>
                <c:pt idx="257">
                  <c:v>143.4045761221391</c:v>
                </c:pt>
                <c:pt idx="258">
                  <c:v>142.05055370723215</c:v>
                </c:pt>
                <c:pt idx="259">
                  <c:v>143.4045761221391</c:v>
                </c:pt>
                <c:pt idx="260">
                  <c:v>142.05055370723215</c:v>
                </c:pt>
                <c:pt idx="261">
                  <c:v>143.4045761221391</c:v>
                </c:pt>
                <c:pt idx="262">
                  <c:v>142.05055370723215</c:v>
                </c:pt>
                <c:pt idx="263">
                  <c:v>143.4045761221391</c:v>
                </c:pt>
                <c:pt idx="264">
                  <c:v>142.05055370723215</c:v>
                </c:pt>
                <c:pt idx="265">
                  <c:v>143.4045761221391</c:v>
                </c:pt>
                <c:pt idx="266">
                  <c:v>142.05055370723215</c:v>
                </c:pt>
                <c:pt idx="267">
                  <c:v>143.4045761221391</c:v>
                </c:pt>
                <c:pt idx="268">
                  <c:v>142.05055370723215</c:v>
                </c:pt>
                <c:pt idx="269">
                  <c:v>140.70931593804329</c:v>
                </c:pt>
                <c:pt idx="270">
                  <c:v>142.05055370723215</c:v>
                </c:pt>
                <c:pt idx="271">
                  <c:v>140.70931593804329</c:v>
                </c:pt>
                <c:pt idx="272">
                  <c:v>142.05055370723215</c:v>
                </c:pt>
                <c:pt idx="273">
                  <c:v>140.70931593804329</c:v>
                </c:pt>
                <c:pt idx="274">
                  <c:v>142.05055370723215</c:v>
                </c:pt>
                <c:pt idx="275">
                  <c:v>140.70931593804329</c:v>
                </c:pt>
                <c:pt idx="276">
                  <c:v>142.05055370723215</c:v>
                </c:pt>
                <c:pt idx="277">
                  <c:v>140.70931593804329</c:v>
                </c:pt>
                <c:pt idx="278">
                  <c:v>142.05055370723215</c:v>
                </c:pt>
                <c:pt idx="279">
                  <c:v>140.70931593804329</c:v>
                </c:pt>
                <c:pt idx="280">
                  <c:v>142.05055370723215</c:v>
                </c:pt>
                <c:pt idx="281">
                  <c:v>140.70931593804329</c:v>
                </c:pt>
                <c:pt idx="282">
                  <c:v>139.3807421022679</c:v>
                </c:pt>
                <c:pt idx="283">
                  <c:v>140.70931593804329</c:v>
                </c:pt>
                <c:pt idx="284">
                  <c:v>139.3807421022679</c:v>
                </c:pt>
                <c:pt idx="285">
                  <c:v>140.70931593804329</c:v>
                </c:pt>
                <c:pt idx="286">
                  <c:v>139.3807421022679</c:v>
                </c:pt>
                <c:pt idx="287">
                  <c:v>140.70931593804329</c:v>
                </c:pt>
                <c:pt idx="288">
                  <c:v>139.3807421022679</c:v>
                </c:pt>
                <c:pt idx="289">
                  <c:v>140.70931593804329</c:v>
                </c:pt>
                <c:pt idx="290">
                  <c:v>139.3807421022679</c:v>
                </c:pt>
                <c:pt idx="291">
                  <c:v>140.70931593804329</c:v>
                </c:pt>
                <c:pt idx="292">
                  <c:v>139.3807421022679</c:v>
                </c:pt>
                <c:pt idx="293">
                  <c:v>140.70931593804329</c:v>
                </c:pt>
                <c:pt idx="294">
                  <c:v>139.3807421022679</c:v>
                </c:pt>
                <c:pt idx="295">
                  <c:v>140.70931593804329</c:v>
                </c:pt>
                <c:pt idx="296">
                  <c:v>139.3807421022679</c:v>
                </c:pt>
                <c:pt idx="297">
                  <c:v>138.064712627364</c:v>
                </c:pt>
                <c:pt idx="298">
                  <c:v>139.3807421022679</c:v>
                </c:pt>
                <c:pt idx="299">
                  <c:v>138.064712627364</c:v>
                </c:pt>
                <c:pt idx="300">
                  <c:v>139.3807421022679</c:v>
                </c:pt>
                <c:pt idx="301">
                  <c:v>138.064712627364</c:v>
                </c:pt>
                <c:pt idx="302">
                  <c:v>139.3807421022679</c:v>
                </c:pt>
                <c:pt idx="303">
                  <c:v>138.064712627364</c:v>
                </c:pt>
                <c:pt idx="304">
                  <c:v>139.3807421022679</c:v>
                </c:pt>
                <c:pt idx="305">
                  <c:v>138.064712627364</c:v>
                </c:pt>
                <c:pt idx="306">
                  <c:v>139.3807421022679</c:v>
                </c:pt>
                <c:pt idx="307">
                  <c:v>138.064712627364</c:v>
                </c:pt>
                <c:pt idx="308">
                  <c:v>139.3807421022679</c:v>
                </c:pt>
                <c:pt idx="309">
                  <c:v>138.064712627364</c:v>
                </c:pt>
                <c:pt idx="310">
                  <c:v>136.76110906979054</c:v>
                </c:pt>
                <c:pt idx="311">
                  <c:v>138.064712627364</c:v>
                </c:pt>
                <c:pt idx="312">
                  <c:v>136.76110906979054</c:v>
                </c:pt>
                <c:pt idx="313">
                  <c:v>138.064712627364</c:v>
                </c:pt>
                <c:pt idx="314">
                  <c:v>136.76110906979054</c:v>
                </c:pt>
                <c:pt idx="315">
                  <c:v>138.064712627364</c:v>
                </c:pt>
                <c:pt idx="316">
                  <c:v>136.76110906979054</c:v>
                </c:pt>
                <c:pt idx="317">
                  <c:v>138.064712627364</c:v>
                </c:pt>
                <c:pt idx="318">
                  <c:v>136.76110906979054</c:v>
                </c:pt>
                <c:pt idx="319">
                  <c:v>138.064712627364</c:v>
                </c:pt>
                <c:pt idx="320">
                  <c:v>136.76110906979054</c:v>
                </c:pt>
                <c:pt idx="321">
                  <c:v>138.064712627364</c:v>
                </c:pt>
                <c:pt idx="322">
                  <c:v>136.76110906979054</c:v>
                </c:pt>
                <c:pt idx="323">
                  <c:v>135.46981410434736</c:v>
                </c:pt>
                <c:pt idx="324">
                  <c:v>136.76110906979054</c:v>
                </c:pt>
                <c:pt idx="325">
                  <c:v>135.46981410434736</c:v>
                </c:pt>
                <c:pt idx="326">
                  <c:v>136.76110906979054</c:v>
                </c:pt>
                <c:pt idx="327">
                  <c:v>135.46981410434736</c:v>
                </c:pt>
                <c:pt idx="328">
                  <c:v>136.76110906979054</c:v>
                </c:pt>
                <c:pt idx="329">
                  <c:v>135.46981410434736</c:v>
                </c:pt>
                <c:pt idx="330">
                  <c:v>136.76110906979054</c:v>
                </c:pt>
                <c:pt idx="331">
                  <c:v>135.46981410434736</c:v>
                </c:pt>
                <c:pt idx="332">
                  <c:v>136.76110906979054</c:v>
                </c:pt>
                <c:pt idx="333">
                  <c:v>135.46981410434736</c:v>
                </c:pt>
                <c:pt idx="334">
                  <c:v>136.76110906979054</c:v>
                </c:pt>
                <c:pt idx="335">
                  <c:v>135.46981410434736</c:v>
                </c:pt>
                <c:pt idx="336">
                  <c:v>134.19071151361598</c:v>
                </c:pt>
                <c:pt idx="337">
                  <c:v>135.46981410434736</c:v>
                </c:pt>
                <c:pt idx="338">
                  <c:v>134.19071151361598</c:v>
                </c:pt>
                <c:pt idx="339">
                  <c:v>135.46981410434736</c:v>
                </c:pt>
                <c:pt idx="340">
                  <c:v>134.19071151361598</c:v>
                </c:pt>
                <c:pt idx="341">
                  <c:v>135.46981410434736</c:v>
                </c:pt>
                <c:pt idx="342">
                  <c:v>134.19071151361598</c:v>
                </c:pt>
                <c:pt idx="343">
                  <c:v>135.46981410434736</c:v>
                </c:pt>
                <c:pt idx="344">
                  <c:v>134.19071151361598</c:v>
                </c:pt>
                <c:pt idx="345">
                  <c:v>135.46981410434736</c:v>
                </c:pt>
                <c:pt idx="346">
                  <c:v>134.19071151361598</c:v>
                </c:pt>
                <c:pt idx="347">
                  <c:v>132.92368617749983</c:v>
                </c:pt>
                <c:pt idx="348">
                  <c:v>134.19071151361598</c:v>
                </c:pt>
                <c:pt idx="349">
                  <c:v>132.92368617749983</c:v>
                </c:pt>
                <c:pt idx="350">
                  <c:v>134.19071151361598</c:v>
                </c:pt>
                <c:pt idx="351">
                  <c:v>132.92368617749983</c:v>
                </c:pt>
                <c:pt idx="352">
                  <c:v>134.19071151361598</c:v>
                </c:pt>
                <c:pt idx="353">
                  <c:v>132.92368617749983</c:v>
                </c:pt>
                <c:pt idx="354">
                  <c:v>134.19071151361598</c:v>
                </c:pt>
                <c:pt idx="355">
                  <c:v>132.92368617749983</c:v>
                </c:pt>
                <c:pt idx="356">
                  <c:v>134.19071151361598</c:v>
                </c:pt>
                <c:pt idx="357">
                  <c:v>132.92368617749983</c:v>
                </c:pt>
                <c:pt idx="358">
                  <c:v>134.19071151361598</c:v>
                </c:pt>
                <c:pt idx="359">
                  <c:v>132.92368617749983</c:v>
                </c:pt>
                <c:pt idx="360">
                  <c:v>131.66862406286342</c:v>
                </c:pt>
                <c:pt idx="361">
                  <c:v>132.92368617749983</c:v>
                </c:pt>
                <c:pt idx="362">
                  <c:v>131.66862406286342</c:v>
                </c:pt>
                <c:pt idx="363">
                  <c:v>132.92368617749983</c:v>
                </c:pt>
                <c:pt idx="364">
                  <c:v>131.66862406286342</c:v>
                </c:pt>
                <c:pt idx="365">
                  <c:v>132.92368617749983</c:v>
                </c:pt>
                <c:pt idx="366">
                  <c:v>131.66862406286342</c:v>
                </c:pt>
                <c:pt idx="367">
                  <c:v>132.92368617749983</c:v>
                </c:pt>
                <c:pt idx="368">
                  <c:v>131.66862406286342</c:v>
                </c:pt>
                <c:pt idx="369">
                  <c:v>132.92368617749983</c:v>
                </c:pt>
                <c:pt idx="370">
                  <c:v>131.66862406286342</c:v>
                </c:pt>
                <c:pt idx="371">
                  <c:v>130.42541221326925</c:v>
                </c:pt>
                <c:pt idx="372">
                  <c:v>131.66862406286342</c:v>
                </c:pt>
                <c:pt idx="373">
                  <c:v>130.42541221326925</c:v>
                </c:pt>
                <c:pt idx="374">
                  <c:v>131.66862406286342</c:v>
                </c:pt>
                <c:pt idx="375">
                  <c:v>130.42541221326925</c:v>
                </c:pt>
                <c:pt idx="376">
                  <c:v>131.66862406286342</c:v>
                </c:pt>
                <c:pt idx="377">
                  <c:v>130.42541221326925</c:v>
                </c:pt>
                <c:pt idx="378">
                  <c:v>131.66862406286342</c:v>
                </c:pt>
                <c:pt idx="379">
                  <c:v>130.42541221326925</c:v>
                </c:pt>
                <c:pt idx="380">
                  <c:v>129.19393873881168</c:v>
                </c:pt>
                <c:pt idx="381">
                  <c:v>130.42541221326925</c:v>
                </c:pt>
                <c:pt idx="382">
                  <c:v>129.19393873881168</c:v>
                </c:pt>
                <c:pt idx="383">
                  <c:v>130.42541221326925</c:v>
                </c:pt>
                <c:pt idx="384">
                  <c:v>129.19393873881168</c:v>
                </c:pt>
                <c:pt idx="385">
                  <c:v>130.42541221326925</c:v>
                </c:pt>
                <c:pt idx="386">
                  <c:v>129.19393873881168</c:v>
                </c:pt>
                <c:pt idx="387">
                  <c:v>130.42541221326925</c:v>
                </c:pt>
                <c:pt idx="388">
                  <c:v>129.19393873881168</c:v>
                </c:pt>
                <c:pt idx="389">
                  <c:v>130.42541221326925</c:v>
                </c:pt>
                <c:pt idx="390">
                  <c:v>129.19393873881168</c:v>
                </c:pt>
                <c:pt idx="391">
                  <c:v>127.9740928060468</c:v>
                </c:pt>
                <c:pt idx="392">
                  <c:v>129.19393873881168</c:v>
                </c:pt>
                <c:pt idx="393">
                  <c:v>127.9740928060468</c:v>
                </c:pt>
                <c:pt idx="394">
                  <c:v>129.19393873881168</c:v>
                </c:pt>
                <c:pt idx="395">
                  <c:v>127.9740928060468</c:v>
                </c:pt>
                <c:pt idx="396">
                  <c:v>129.19393873881168</c:v>
                </c:pt>
                <c:pt idx="397">
                  <c:v>127.9740928060468</c:v>
                </c:pt>
                <c:pt idx="398">
                  <c:v>129.19393873881168</c:v>
                </c:pt>
                <c:pt idx="399">
                  <c:v>127.9740928060468</c:v>
                </c:pt>
                <c:pt idx="400">
                  <c:v>126.76576462801721</c:v>
                </c:pt>
                <c:pt idx="401">
                  <c:v>127.9740928060468</c:v>
                </c:pt>
                <c:pt idx="402">
                  <c:v>126.76576462801721</c:v>
                </c:pt>
                <c:pt idx="403">
                  <c:v>127.9740928060468</c:v>
                </c:pt>
                <c:pt idx="404">
                  <c:v>126.76576462801721</c:v>
                </c:pt>
                <c:pt idx="405">
                  <c:v>127.9740928060468</c:v>
                </c:pt>
                <c:pt idx="406">
                  <c:v>126.76576462801721</c:v>
                </c:pt>
                <c:pt idx="407">
                  <c:v>127.9740928060468</c:v>
                </c:pt>
                <c:pt idx="408">
                  <c:v>126.76576462801721</c:v>
                </c:pt>
                <c:pt idx="409">
                  <c:v>125.5688454543713</c:v>
                </c:pt>
                <c:pt idx="410">
                  <c:v>126.76576462801721</c:v>
                </c:pt>
                <c:pt idx="411">
                  <c:v>125.5688454543713</c:v>
                </c:pt>
                <c:pt idx="412">
                  <c:v>126.76576462801721</c:v>
                </c:pt>
                <c:pt idx="413">
                  <c:v>125.5688454543713</c:v>
                </c:pt>
                <c:pt idx="414">
                  <c:v>126.76576462801721</c:v>
                </c:pt>
                <c:pt idx="415">
                  <c:v>125.5688454543713</c:v>
                </c:pt>
                <c:pt idx="416">
                  <c:v>126.76576462801721</c:v>
                </c:pt>
                <c:pt idx="417">
                  <c:v>125.5688454543713</c:v>
                </c:pt>
                <c:pt idx="418">
                  <c:v>124.38322756157551</c:v>
                </c:pt>
                <c:pt idx="419">
                  <c:v>125.5688454543713</c:v>
                </c:pt>
                <c:pt idx="420">
                  <c:v>124.38322756157551</c:v>
                </c:pt>
                <c:pt idx="421">
                  <c:v>125.5688454543713</c:v>
                </c:pt>
                <c:pt idx="422">
                  <c:v>124.38322756157551</c:v>
                </c:pt>
                <c:pt idx="423">
                  <c:v>125.5688454543713</c:v>
                </c:pt>
                <c:pt idx="424">
                  <c:v>124.38322756157551</c:v>
                </c:pt>
                <c:pt idx="425">
                  <c:v>123.20880424321921</c:v>
                </c:pt>
                <c:pt idx="426">
                  <c:v>124.38322756157551</c:v>
                </c:pt>
                <c:pt idx="427">
                  <c:v>123.20880424321921</c:v>
                </c:pt>
                <c:pt idx="428">
                  <c:v>124.38322756157551</c:v>
                </c:pt>
                <c:pt idx="429">
                  <c:v>123.20880424321921</c:v>
                </c:pt>
                <c:pt idx="430">
                  <c:v>124.38322756157551</c:v>
                </c:pt>
                <c:pt idx="431">
                  <c:v>123.20880424321921</c:v>
                </c:pt>
                <c:pt idx="432">
                  <c:v>122.04546980041098</c:v>
                </c:pt>
                <c:pt idx="433">
                  <c:v>123.20880424321921</c:v>
                </c:pt>
                <c:pt idx="434">
                  <c:v>122.04546980041098</c:v>
                </c:pt>
                <c:pt idx="435">
                  <c:v>123.20880424321921</c:v>
                </c:pt>
                <c:pt idx="436">
                  <c:v>122.04546980041098</c:v>
                </c:pt>
                <c:pt idx="437">
                  <c:v>123.20880424321921</c:v>
                </c:pt>
                <c:pt idx="438">
                  <c:v>122.04546980041098</c:v>
                </c:pt>
                <c:pt idx="439">
                  <c:v>120.89311953226571</c:v>
                </c:pt>
                <c:pt idx="440">
                  <c:v>122.04546980041098</c:v>
                </c:pt>
                <c:pt idx="441">
                  <c:v>120.89311953226571</c:v>
                </c:pt>
                <c:pt idx="442">
                  <c:v>122.04546980041098</c:v>
                </c:pt>
                <c:pt idx="443">
                  <c:v>120.89311953226571</c:v>
                </c:pt>
                <c:pt idx="444">
                  <c:v>122.04546980041098</c:v>
                </c:pt>
                <c:pt idx="445">
                  <c:v>120.89311953226571</c:v>
                </c:pt>
                <c:pt idx="446">
                  <c:v>119.75164972648145</c:v>
                </c:pt>
                <c:pt idx="447">
                  <c:v>120.89311953226571</c:v>
                </c:pt>
                <c:pt idx="448">
                  <c:v>119.75164972648145</c:v>
                </c:pt>
                <c:pt idx="449">
                  <c:v>120.89311953226571</c:v>
                </c:pt>
                <c:pt idx="450">
                  <c:v>119.75164972648145</c:v>
                </c:pt>
                <c:pt idx="451">
                  <c:v>120.89311953226571</c:v>
                </c:pt>
                <c:pt idx="452">
                  <c:v>119.75164972648145</c:v>
                </c:pt>
                <c:pt idx="453">
                  <c:v>118.62095765000518</c:v>
                </c:pt>
                <c:pt idx="454">
                  <c:v>119.75164972648145</c:v>
                </c:pt>
                <c:pt idx="455">
                  <c:v>118.62095765000518</c:v>
                </c:pt>
                <c:pt idx="456">
                  <c:v>119.75164972648145</c:v>
                </c:pt>
                <c:pt idx="457">
                  <c:v>118.62095765000518</c:v>
                </c:pt>
                <c:pt idx="458">
                  <c:v>117.50094153978678</c:v>
                </c:pt>
                <c:pt idx="459">
                  <c:v>118.62095765000518</c:v>
                </c:pt>
                <c:pt idx="460">
                  <c:v>117.50094153978678</c:v>
                </c:pt>
                <c:pt idx="461">
                  <c:v>118.62095765000518</c:v>
                </c:pt>
                <c:pt idx="462">
                  <c:v>117.50094153978678</c:v>
                </c:pt>
                <c:pt idx="463">
                  <c:v>116.39150059362035</c:v>
                </c:pt>
                <c:pt idx="464">
                  <c:v>117.50094153978678</c:v>
                </c:pt>
                <c:pt idx="465">
                  <c:v>116.39150059362035</c:v>
                </c:pt>
                <c:pt idx="466">
                  <c:v>117.50094153978678</c:v>
                </c:pt>
                <c:pt idx="467">
                  <c:v>116.39150059362035</c:v>
                </c:pt>
                <c:pt idx="468">
                  <c:v>115.29253496107185</c:v>
                </c:pt>
                <c:pt idx="469">
                  <c:v>116.39150059362035</c:v>
                </c:pt>
                <c:pt idx="470">
                  <c:v>115.29253496107185</c:v>
                </c:pt>
                <c:pt idx="471">
                  <c:v>116.39150059362035</c:v>
                </c:pt>
                <c:pt idx="472">
                  <c:v>115.29253496107185</c:v>
                </c:pt>
                <c:pt idx="473">
                  <c:v>114.20394573449255</c:v>
                </c:pt>
                <c:pt idx="474">
                  <c:v>115.29253496107185</c:v>
                </c:pt>
                <c:pt idx="475">
                  <c:v>114.20394573449255</c:v>
                </c:pt>
                <c:pt idx="476">
                  <c:v>113.12563494011725</c:v>
                </c:pt>
                <c:pt idx="477">
                  <c:v>114.20394573449255</c:v>
                </c:pt>
                <c:pt idx="478">
                  <c:v>113.12563494011725</c:v>
                </c:pt>
                <c:pt idx="479">
                  <c:v>114.20394573449255</c:v>
                </c:pt>
                <c:pt idx="480">
                  <c:v>113.12563494011725</c:v>
                </c:pt>
                <c:pt idx="481">
                  <c:v>112.05750552924658</c:v>
                </c:pt>
                <c:pt idx="482">
                  <c:v>113.12563494011725</c:v>
                </c:pt>
                <c:pt idx="483">
                  <c:v>112.05750552924658</c:v>
                </c:pt>
                <c:pt idx="484">
                  <c:v>110.9994613695126</c:v>
                </c:pt>
                <c:pt idx="485">
                  <c:v>112.05750552924658</c:v>
                </c:pt>
                <c:pt idx="486">
                  <c:v>110.9994613695126</c:v>
                </c:pt>
                <c:pt idx="487">
                  <c:v>109.95140723622671</c:v>
                </c:pt>
                <c:pt idx="488">
                  <c:v>110.9994613695126</c:v>
                </c:pt>
                <c:pt idx="489">
                  <c:v>109.95140723622671</c:v>
                </c:pt>
                <c:pt idx="490">
                  <c:v>108.91324880380952</c:v>
                </c:pt>
                <c:pt idx="491">
                  <c:v>107.88489263730135</c:v>
                </c:pt>
                <c:pt idx="492">
                  <c:v>108.91324880380952</c:v>
                </c:pt>
                <c:pt idx="493">
                  <c:v>107.88489263730135</c:v>
                </c:pt>
                <c:pt idx="494">
                  <c:v>106.86624618395304</c:v>
                </c:pt>
                <c:pt idx="495">
                  <c:v>105.85721776489623</c:v>
                </c:pt>
                <c:pt idx="496">
                  <c:v>104.85771656689209</c:v>
                </c:pt>
                <c:pt idx="497">
                  <c:v>103.86765263415813</c:v>
                </c:pt>
                <c:pt idx="498">
                  <c:v>102.88693686027213</c:v>
                </c:pt>
                <c:pt idx="499">
                  <c:v>101.91548098015244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56896"/>
        <c:axId val="174258432"/>
      </c:lineChart>
      <c:catAx>
        <c:axId val="17425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74258432"/>
        <c:crosses val="autoZero"/>
        <c:auto val="1"/>
        <c:lblAlgn val="ctr"/>
        <c:lblOffset val="100"/>
        <c:noMultiLvlLbl val="0"/>
      </c:catAx>
      <c:valAx>
        <c:axId val="17425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256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9</xdr:row>
      <xdr:rowOff>28575</xdr:rowOff>
    </xdr:from>
    <xdr:to>
      <xdr:col>17</xdr:col>
      <xdr:colOff>114300</xdr:colOff>
      <xdr:row>17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114300</xdr:colOff>
      <xdr:row>18</xdr:row>
      <xdr:rowOff>66675</xdr:rowOff>
    </xdr:from>
    <xdr:to>
      <xdr:col>17</xdr:col>
      <xdr:colOff>161925</xdr:colOff>
      <xdr:row>27</xdr:row>
      <xdr:rowOff>38100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180975</xdr:rowOff>
    </xdr:from>
    <xdr:to>
      <xdr:col>14</xdr:col>
      <xdr:colOff>304800</xdr:colOff>
      <xdr:row>22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6</xdr:row>
      <xdr:rowOff>104775</xdr:rowOff>
    </xdr:from>
    <xdr:to>
      <xdr:col>14</xdr:col>
      <xdr:colOff>295275</xdr:colOff>
      <xdr:row>20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7</xdr:row>
      <xdr:rowOff>161924</xdr:rowOff>
    </xdr:from>
    <xdr:to>
      <xdr:col>16</xdr:col>
      <xdr:colOff>57150</xdr:colOff>
      <xdr:row>22</xdr:row>
      <xdr:rowOff>114299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390525</xdr:colOff>
      <xdr:row>3</xdr:row>
      <xdr:rowOff>76200</xdr:rowOff>
    </xdr:from>
    <xdr:to>
      <xdr:col>10</xdr:col>
      <xdr:colOff>28087</xdr:colOff>
      <xdr:row>7</xdr:row>
      <xdr:rowOff>85629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325" y="647700"/>
          <a:ext cx="3904762" cy="771429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8</xdr:row>
      <xdr:rowOff>180975</xdr:rowOff>
    </xdr:from>
    <xdr:to>
      <xdr:col>8</xdr:col>
      <xdr:colOff>332945</xdr:colOff>
      <xdr:row>10</xdr:row>
      <xdr:rowOff>190451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1650" y="1704975"/>
          <a:ext cx="3438095" cy="3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257175</xdr:colOff>
      <xdr:row>12</xdr:row>
      <xdr:rowOff>161925</xdr:rowOff>
    </xdr:from>
    <xdr:to>
      <xdr:col>12</xdr:col>
      <xdr:colOff>399346</xdr:colOff>
      <xdr:row>17</xdr:row>
      <xdr:rowOff>190377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85975" y="2447925"/>
          <a:ext cx="5628571" cy="9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EEAC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24"/>
  <sheetViews>
    <sheetView workbookViewId="0">
      <selection activeCell="D11" sqref="D11"/>
    </sheetView>
  </sheetViews>
  <sheetFormatPr defaultRowHeight="15" x14ac:dyDescent="0.25"/>
  <cols>
    <col min="2" max="2" width="14.85546875" customWidth="1"/>
    <col min="5" max="5" width="14.28515625" customWidth="1"/>
    <col min="6" max="6" width="9.140625" customWidth="1"/>
    <col min="8" max="8" width="13.140625" customWidth="1"/>
    <col min="9" max="9" width="11.7109375" customWidth="1"/>
    <col min="10" max="10" width="11.85546875" customWidth="1"/>
    <col min="14" max="14" width="13.140625" bestFit="1" customWidth="1"/>
    <col min="15" max="15" width="12" bestFit="1" customWidth="1"/>
    <col min="16" max="16" width="13.140625" bestFit="1" customWidth="1"/>
    <col min="17" max="17" width="12" bestFit="1" customWidth="1"/>
    <col min="18" max="18" width="13.140625" customWidth="1"/>
    <col min="19" max="19" width="15.42578125" customWidth="1"/>
  </cols>
  <sheetData>
    <row r="1" spans="2:17" x14ac:dyDescent="0.25">
      <c r="B1" t="s">
        <v>14</v>
      </c>
    </row>
    <row r="3" spans="2:17" x14ac:dyDescent="0.25">
      <c r="E3" t="s">
        <v>5</v>
      </c>
      <c r="I3" t="s">
        <v>10</v>
      </c>
    </row>
    <row r="4" spans="2:17" x14ac:dyDescent="0.25">
      <c r="B4" s="1" t="s">
        <v>0</v>
      </c>
      <c r="C4" s="1">
        <v>100</v>
      </c>
      <c r="F4" s="1"/>
      <c r="G4" s="1" t="s">
        <v>9</v>
      </c>
      <c r="H4" s="1" t="s">
        <v>11</v>
      </c>
      <c r="I4" s="1">
        <v>100</v>
      </c>
      <c r="J4" s="1">
        <v>200</v>
      </c>
    </row>
    <row r="5" spans="2:17" x14ac:dyDescent="0.25">
      <c r="B5" s="1" t="s">
        <v>1</v>
      </c>
      <c r="C5" s="1">
        <v>0.01</v>
      </c>
      <c r="F5" s="1" t="s">
        <v>6</v>
      </c>
      <c r="G5" s="1">
        <f>_S0</f>
        <v>100</v>
      </c>
      <c r="H5" s="1">
        <f>get_thretical_forward_price(_S0,_r,_q,_T,G5)</f>
        <v>0.37383017318985967</v>
      </c>
      <c r="I5" s="1">
        <f>get_tree_forward_price(_S0,_r,_q,_T,_sigma,G5,I4)</f>
        <v>0.3738301731887464</v>
      </c>
      <c r="J5" s="1">
        <f>get_tree_forward_price(_S0,_r,_q,_T,_sigma,G5,J4)</f>
        <v>0.37383017319153472</v>
      </c>
    </row>
    <row r="6" spans="2:17" x14ac:dyDescent="0.25">
      <c r="B6" s="1" t="s">
        <v>2</v>
      </c>
      <c r="C6" s="1">
        <v>2.5000000000000001E-3</v>
      </c>
      <c r="F6" s="1" t="s">
        <v>7</v>
      </c>
      <c r="G6" s="1">
        <f>_S0/1.1</f>
        <v>90.909090909090907</v>
      </c>
      <c r="H6" s="1">
        <f>get_thretical_forward_price(_S0,_r,_q,_T,G6)</f>
        <v>9.4193981658506107</v>
      </c>
      <c r="I6" s="1">
        <f>get_tree_forward_price(_S0,_r,_q,_T,_sigma,G6,I4)</f>
        <v>9.4193981658494597</v>
      </c>
      <c r="J6" s="1">
        <f>get_tree_forward_price(_S0,_r,_q,_T,_sigma,G6,J4)</f>
        <v>9.4193981658523285</v>
      </c>
    </row>
    <row r="7" spans="2:17" x14ac:dyDescent="0.25">
      <c r="B7" s="1" t="s">
        <v>3</v>
      </c>
      <c r="C7" s="1">
        <v>0.5</v>
      </c>
      <c r="F7" s="1" t="s">
        <v>8</v>
      </c>
      <c r="G7" s="1">
        <f>_S0/0.9</f>
        <v>111.11111111111111</v>
      </c>
      <c r="H7" s="1">
        <f>get_thretical_forward_price(_S0,_r,_q,_T,G7)</f>
        <v>-10.68186404006217</v>
      </c>
      <c r="I7" s="1">
        <f>get_tree_forward_price(_S0,_r,_q,_T,_sigma,G7,I4)</f>
        <v>-10.681864040063237</v>
      </c>
      <c r="J7" s="1">
        <f>get_tree_forward_price(_S0,_r,_q,_T,_sigma,G7,J4)</f>
        <v>-10.681864040060546</v>
      </c>
    </row>
    <row r="8" spans="2:17" x14ac:dyDescent="0.25">
      <c r="B8" s="1" t="s">
        <v>4</v>
      </c>
      <c r="C8" s="1">
        <v>0.3</v>
      </c>
    </row>
    <row r="9" spans="2:17" x14ac:dyDescent="0.25">
      <c r="E9" t="s">
        <v>12</v>
      </c>
    </row>
    <row r="12" spans="2:17" x14ac:dyDescent="0.25">
      <c r="M12" t="s">
        <v>10</v>
      </c>
      <c r="N12" t="s">
        <v>20</v>
      </c>
      <c r="O12" t="s">
        <v>18</v>
      </c>
      <c r="P12" t="s">
        <v>19</v>
      </c>
      <c r="Q12" t="s">
        <v>18</v>
      </c>
    </row>
    <row r="13" spans="2:17" x14ac:dyDescent="0.25">
      <c r="B13" t="s">
        <v>13</v>
      </c>
      <c r="L13" s="2"/>
      <c r="M13" s="2" t="s">
        <v>23</v>
      </c>
      <c r="N13">
        <f t="array" ref="N13:N18">TRANSPOSE(F16:K16)</f>
        <v>8.6089028980403164</v>
      </c>
      <c r="O13">
        <f t="shared" ref="O13:O18" si="0">$E$16</f>
        <v>8.6088876354855302</v>
      </c>
      <c r="P13">
        <f t="array" ref="P13:P18">TRANSPOSE(F19:K19)</f>
        <v>8.2350727248511042</v>
      </c>
      <c r="Q13">
        <f t="shared" ref="Q13:Q18" si="1">$E$19</f>
        <v>8.2350574622956803</v>
      </c>
    </row>
    <row r="14" spans="2:17" x14ac:dyDescent="0.25">
      <c r="F14" t="s">
        <v>10</v>
      </c>
      <c r="L14" s="2"/>
      <c r="M14" s="2">
        <v>250</v>
      </c>
      <c r="N14">
        <v>8.6088410799290056</v>
      </c>
      <c r="O14">
        <f t="shared" si="0"/>
        <v>8.6088876354855302</v>
      </c>
      <c r="P14">
        <v>8.235010906739042</v>
      </c>
      <c r="Q14">
        <f t="shared" si="1"/>
        <v>8.2350574622956803</v>
      </c>
    </row>
    <row r="15" spans="2:17" x14ac:dyDescent="0.25">
      <c r="C15" s="1"/>
      <c r="D15" s="1" t="s">
        <v>9</v>
      </c>
      <c r="E15" s="1" t="s">
        <v>11</v>
      </c>
      <c r="F15" s="1">
        <v>125</v>
      </c>
      <c r="G15" s="1">
        <v>250</v>
      </c>
      <c r="H15" s="1">
        <v>500</v>
      </c>
      <c r="I15" s="1">
        <v>1000</v>
      </c>
      <c r="J15" s="1">
        <v>2000</v>
      </c>
      <c r="K15" s="1">
        <v>4000</v>
      </c>
      <c r="L15" s="2"/>
      <c r="M15" s="2">
        <v>500</v>
      </c>
      <c r="N15">
        <v>8.6088674714616182</v>
      </c>
      <c r="O15">
        <f t="shared" si="0"/>
        <v>8.6088876354855302</v>
      </c>
      <c r="P15">
        <v>8.2350372982732054</v>
      </c>
      <c r="Q15">
        <f t="shared" si="1"/>
        <v>8.2350574622956803</v>
      </c>
    </row>
    <row r="16" spans="2:17" x14ac:dyDescent="0.25">
      <c r="B16" t="s">
        <v>15</v>
      </c>
      <c r="C16" s="1" t="s">
        <v>6</v>
      </c>
      <c r="D16" s="1">
        <f>_S0</f>
        <v>100</v>
      </c>
      <c r="E16" s="1">
        <f>get_thretical_euro_call_price(_S0,_r,_q,_T,_sigma,$D16)</f>
        <v>8.6088876354855302</v>
      </c>
      <c r="F16" s="1">
        <f t="shared" ref="F16:K18" si="2">get_tree_euro_call_price(_S0,_r,_q,_T,_sigma,$D16,F$15)</f>
        <v>8.6089028980403164</v>
      </c>
      <c r="G16" s="1">
        <f t="shared" si="2"/>
        <v>8.6088410799290056</v>
      </c>
      <c r="H16" s="1">
        <f t="shared" si="2"/>
        <v>8.6088674714616182</v>
      </c>
      <c r="I16" s="1">
        <f t="shared" si="2"/>
        <v>8.6088783342634372</v>
      </c>
      <c r="J16" s="1">
        <f t="shared" si="2"/>
        <v>8.6088831803651793</v>
      </c>
      <c r="K16" s="1">
        <f t="shared" si="2"/>
        <v>8.6088854568274531</v>
      </c>
      <c r="L16" s="2"/>
      <c r="M16" s="2">
        <v>1000</v>
      </c>
      <c r="N16">
        <v>8.6088783342634372</v>
      </c>
      <c r="O16">
        <f t="shared" si="0"/>
        <v>8.6088876354855302</v>
      </c>
      <c r="P16">
        <v>8.2350481610733155</v>
      </c>
      <c r="Q16">
        <f t="shared" si="1"/>
        <v>8.2350574622956803</v>
      </c>
    </row>
    <row r="17" spans="2:17" x14ac:dyDescent="0.25">
      <c r="C17" s="1" t="s">
        <v>7</v>
      </c>
      <c r="D17" s="1">
        <f>_S0/1.1</f>
        <v>90.909090909090907</v>
      </c>
      <c r="E17" s="1">
        <f>get_thretical_euro_call_price(_S0,_r,_q,_T,_sigma,$D17)</f>
        <v>13.605107717967311</v>
      </c>
      <c r="F17" s="1">
        <f t="shared" si="2"/>
        <v>13.604751496417707</v>
      </c>
      <c r="G17" s="1">
        <f t="shared" si="2"/>
        <v>13.606149965178194</v>
      </c>
      <c r="H17" s="1">
        <f t="shared" si="2"/>
        <v>13.605181465973791</v>
      </c>
      <c r="I17" s="1">
        <f t="shared" si="2"/>
        <v>13.605572447279002</v>
      </c>
      <c r="J17" s="1">
        <f t="shared" si="2"/>
        <v>13.605198538377866</v>
      </c>
      <c r="K17" s="1">
        <f t="shared" si="2"/>
        <v>13.605294477129769</v>
      </c>
      <c r="L17" s="2"/>
      <c r="M17" s="2">
        <v>2000</v>
      </c>
      <c r="N17">
        <v>8.6088831803651793</v>
      </c>
      <c r="O17">
        <f t="shared" si="0"/>
        <v>8.6088876354855302</v>
      </c>
      <c r="P17">
        <v>8.2350530071755905</v>
      </c>
      <c r="Q17">
        <f t="shared" si="1"/>
        <v>8.2350574622956803</v>
      </c>
    </row>
    <row r="18" spans="2:17" x14ac:dyDescent="0.25">
      <c r="C18" s="1" t="s">
        <v>8</v>
      </c>
      <c r="D18" s="1">
        <f>_S0/0.9</f>
        <v>111.11111111111111</v>
      </c>
      <c r="E18" s="1">
        <f>get_thretical_euro_call_price(_S0,_r,_q,_T,_sigma,$D18)</f>
        <v>4.5423717465279196</v>
      </c>
      <c r="F18" s="1">
        <f t="shared" si="2"/>
        <v>4.5483223275561384</v>
      </c>
      <c r="G18" s="1">
        <f t="shared" si="2"/>
        <v>4.5436609239441266</v>
      </c>
      <c r="H18" s="1">
        <f t="shared" si="2"/>
        <v>4.5428314349024266</v>
      </c>
      <c r="I18" s="1">
        <f t="shared" si="2"/>
        <v>4.5430182264672982</v>
      </c>
      <c r="J18" s="1">
        <f t="shared" si="2"/>
        <v>4.5426069997598866</v>
      </c>
      <c r="K18" s="1">
        <f t="shared" si="2"/>
        <v>4.542567327417153</v>
      </c>
      <c r="L18" s="2"/>
      <c r="M18" s="2">
        <v>4000</v>
      </c>
      <c r="N18">
        <v>8.6088854568274531</v>
      </c>
      <c r="O18">
        <f t="shared" si="0"/>
        <v>8.6088876354855302</v>
      </c>
      <c r="P18">
        <v>8.2350552836524411</v>
      </c>
      <c r="Q18">
        <f t="shared" si="1"/>
        <v>8.2350574622956803</v>
      </c>
    </row>
    <row r="19" spans="2:17" x14ac:dyDescent="0.25">
      <c r="B19" t="s">
        <v>16</v>
      </c>
      <c r="C19" s="1" t="s">
        <v>6</v>
      </c>
      <c r="D19" s="1">
        <f>_S0</f>
        <v>100</v>
      </c>
      <c r="E19" s="1">
        <f>get_thretical_euro_put_price(_S0,_r,_q,_T,_sigma,$D19)</f>
        <v>8.2350574622956803</v>
      </c>
      <c r="F19" s="1">
        <f t="shared" ref="F19:K21" si="3">get_tree_euro_put_price(_S0,_r,_q,_T,_sigma,$D19,F$15)</f>
        <v>8.2350727248511042</v>
      </c>
      <c r="G19" s="1">
        <f t="shared" si="3"/>
        <v>8.235010906739042</v>
      </c>
      <c r="H19" s="1">
        <f t="shared" si="3"/>
        <v>8.2350372982732054</v>
      </c>
      <c r="I19" s="1">
        <f t="shared" si="3"/>
        <v>8.2350481610733155</v>
      </c>
      <c r="J19" s="1">
        <f t="shared" si="3"/>
        <v>8.2350530071755905</v>
      </c>
      <c r="K19" s="1">
        <f t="shared" si="3"/>
        <v>8.2350552836524411</v>
      </c>
    </row>
    <row r="20" spans="2:17" x14ac:dyDescent="0.25">
      <c r="C20" s="1" t="s">
        <v>7</v>
      </c>
      <c r="D20" s="1">
        <f>_S0/1.1</f>
        <v>90.909090909090907</v>
      </c>
      <c r="E20" s="1">
        <f>get_thretical_euro_put_price(_S0,_r,_q,_T,_sigma,$D20)</f>
        <v>4.1857095521167009</v>
      </c>
      <c r="F20" s="1">
        <f t="shared" si="3"/>
        <v>4.1853533305677599</v>
      </c>
      <c r="G20" s="1">
        <f t="shared" si="3"/>
        <v>4.1867517993274266</v>
      </c>
      <c r="H20" s="1">
        <f t="shared" si="3"/>
        <v>4.1857833001249585</v>
      </c>
      <c r="I20" s="1">
        <f t="shared" si="3"/>
        <v>4.1861742814274354</v>
      </c>
      <c r="J20" s="1">
        <f t="shared" si="3"/>
        <v>4.1858003725275204</v>
      </c>
      <c r="K20" s="1">
        <f t="shared" si="3"/>
        <v>4.1858963112932601</v>
      </c>
    </row>
    <row r="21" spans="2:17" x14ac:dyDescent="0.25">
      <c r="C21" s="1" t="s">
        <v>8</v>
      </c>
      <c r="D21" s="1">
        <f>_S0/0.9</f>
        <v>111.11111111111111</v>
      </c>
      <c r="E21" s="1">
        <f>get_thretical_euro_put_price(_S0,_r,_q,_T,_sigma,$D21)</f>
        <v>15.224235786590089</v>
      </c>
      <c r="F21" s="1">
        <f t="shared" si="3"/>
        <v>15.230186367618934</v>
      </c>
      <c r="G21" s="1">
        <f t="shared" si="3"/>
        <v>15.22552496400626</v>
      </c>
      <c r="H21" s="1">
        <f t="shared" si="3"/>
        <v>15.224695474965635</v>
      </c>
      <c r="I21" s="1">
        <f t="shared" si="3"/>
        <v>15.224882266530049</v>
      </c>
      <c r="J21" s="1">
        <f t="shared" si="3"/>
        <v>15.224471039822326</v>
      </c>
      <c r="K21" s="1">
        <f t="shared" si="3"/>
        <v>15.224431367495086</v>
      </c>
    </row>
    <row r="23" spans="2:17" x14ac:dyDescent="0.25">
      <c r="B23" t="s">
        <v>21</v>
      </c>
    </row>
    <row r="24" spans="2:17" x14ac:dyDescent="0.25">
      <c r="B24" t="s">
        <v>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10"/>
  <sheetViews>
    <sheetView workbookViewId="0">
      <selection activeCell="F7" sqref="F7"/>
    </sheetView>
  </sheetViews>
  <sheetFormatPr defaultRowHeight="15" x14ac:dyDescent="0.25"/>
  <cols>
    <col min="6" max="6" width="12" bestFit="1" customWidth="1"/>
  </cols>
  <sheetData>
    <row r="1" spans="1:9" x14ac:dyDescent="0.25">
      <c r="A1" t="s">
        <v>17</v>
      </c>
    </row>
    <row r="2" spans="1:9" x14ac:dyDescent="0.25">
      <c r="A2" t="s">
        <v>25</v>
      </c>
      <c r="F2" t="s">
        <v>10</v>
      </c>
    </row>
    <row r="3" spans="1:9" x14ac:dyDescent="0.25">
      <c r="E3" s="1" t="s">
        <v>9</v>
      </c>
      <c r="F3" s="1">
        <v>500</v>
      </c>
      <c r="I3" t="s">
        <v>27</v>
      </c>
    </row>
    <row r="4" spans="1:9" x14ac:dyDescent="0.25">
      <c r="E4" s="1">
        <f>_S0</f>
        <v>100</v>
      </c>
      <c r="F4" s="1">
        <f>get_tree_ame_put_price(_S0,_r,_q,_T,_sigma,E4,F3)</f>
        <v>8.2565010722412211</v>
      </c>
      <c r="I4" t="s">
        <v>33</v>
      </c>
    </row>
    <row r="9" spans="1:9" x14ac:dyDescent="0.25">
      <c r="B9" t="s">
        <v>22</v>
      </c>
      <c r="C9" t="s">
        <v>26</v>
      </c>
    </row>
    <row r="10" spans="1:9" x14ac:dyDescent="0.25">
      <c r="B10">
        <v>0</v>
      </c>
      <c r="C10">
        <f t="array" ref="C10:C509">INDEX(get_ame_put_upper_bound(_S0,_r,_q,_T,_sigma,E4,F3), ROW($A$1:$A$500)-1)</f>
        <v>0</v>
      </c>
    </row>
    <row r="11" spans="1:9" x14ac:dyDescent="0.25">
      <c r="B11">
        <v>1</v>
      </c>
      <c r="C11">
        <v>0</v>
      </c>
    </row>
    <row r="12" spans="1:9" x14ac:dyDescent="0.25">
      <c r="B12">
        <v>2</v>
      </c>
      <c r="C12">
        <v>0</v>
      </c>
    </row>
    <row r="13" spans="1:9" x14ac:dyDescent="0.25">
      <c r="B13">
        <v>3</v>
      </c>
      <c r="C13">
        <v>0</v>
      </c>
    </row>
    <row r="14" spans="1:9" x14ac:dyDescent="0.25">
      <c r="B14">
        <v>4</v>
      </c>
      <c r="C14">
        <v>0</v>
      </c>
    </row>
    <row r="15" spans="1:9" x14ac:dyDescent="0.25">
      <c r="B15">
        <v>5</v>
      </c>
      <c r="C15">
        <v>0</v>
      </c>
    </row>
    <row r="16" spans="1:9" x14ac:dyDescent="0.25">
      <c r="B16">
        <v>6</v>
      </c>
      <c r="C16">
        <v>0</v>
      </c>
    </row>
    <row r="17" spans="2:3" x14ac:dyDescent="0.25">
      <c r="B17">
        <v>7</v>
      </c>
      <c r="C17">
        <v>0</v>
      </c>
    </row>
    <row r="18" spans="2:3" x14ac:dyDescent="0.25">
      <c r="B18">
        <v>8</v>
      </c>
      <c r="C18">
        <v>0</v>
      </c>
    </row>
    <row r="19" spans="2:3" x14ac:dyDescent="0.25">
      <c r="B19">
        <v>9</v>
      </c>
      <c r="C19">
        <v>0</v>
      </c>
    </row>
    <row r="20" spans="2:3" x14ac:dyDescent="0.25">
      <c r="B20">
        <v>10</v>
      </c>
      <c r="C20">
        <v>0</v>
      </c>
    </row>
    <row r="21" spans="2:3" x14ac:dyDescent="0.25">
      <c r="B21">
        <v>11</v>
      </c>
      <c r="C21">
        <v>0</v>
      </c>
    </row>
    <row r="22" spans="2:3" x14ac:dyDescent="0.25">
      <c r="B22">
        <v>12</v>
      </c>
      <c r="C22">
        <v>0</v>
      </c>
    </row>
    <row r="23" spans="2:3" x14ac:dyDescent="0.25">
      <c r="B23">
        <v>13</v>
      </c>
      <c r="C23">
        <v>0</v>
      </c>
    </row>
    <row r="24" spans="2:3" x14ac:dyDescent="0.25">
      <c r="B24">
        <v>14</v>
      </c>
      <c r="C24">
        <v>0</v>
      </c>
    </row>
    <row r="25" spans="2:3" x14ac:dyDescent="0.25">
      <c r="B25">
        <v>15</v>
      </c>
      <c r="C25">
        <v>0</v>
      </c>
    </row>
    <row r="26" spans="2:3" x14ac:dyDescent="0.25">
      <c r="B26">
        <v>16</v>
      </c>
      <c r="C26">
        <v>0</v>
      </c>
    </row>
    <row r="27" spans="2:3" x14ac:dyDescent="0.25">
      <c r="B27">
        <v>17</v>
      </c>
      <c r="C27">
        <v>0</v>
      </c>
    </row>
    <row r="28" spans="2:3" x14ac:dyDescent="0.25">
      <c r="B28">
        <v>18</v>
      </c>
      <c r="C28">
        <v>0</v>
      </c>
    </row>
    <row r="29" spans="2:3" x14ac:dyDescent="0.25">
      <c r="B29">
        <v>19</v>
      </c>
      <c r="C29">
        <v>0</v>
      </c>
    </row>
    <row r="30" spans="2:3" x14ac:dyDescent="0.25">
      <c r="B30">
        <v>20</v>
      </c>
      <c r="C30">
        <v>0</v>
      </c>
    </row>
    <row r="31" spans="2:3" x14ac:dyDescent="0.25">
      <c r="B31">
        <v>21</v>
      </c>
      <c r="C31">
        <v>0</v>
      </c>
    </row>
    <row r="32" spans="2:3" x14ac:dyDescent="0.25">
      <c r="B32">
        <v>22</v>
      </c>
      <c r="C32">
        <v>0</v>
      </c>
    </row>
    <row r="33" spans="2:3" x14ac:dyDescent="0.25">
      <c r="B33">
        <v>23</v>
      </c>
      <c r="C33">
        <v>0</v>
      </c>
    </row>
    <row r="34" spans="2:3" x14ac:dyDescent="0.25">
      <c r="B34">
        <v>24</v>
      </c>
      <c r="C34">
        <v>0</v>
      </c>
    </row>
    <row r="35" spans="2:3" x14ac:dyDescent="0.25">
      <c r="B35">
        <v>25</v>
      </c>
      <c r="C35">
        <v>0</v>
      </c>
    </row>
    <row r="36" spans="2:3" x14ac:dyDescent="0.25">
      <c r="B36">
        <v>26</v>
      </c>
      <c r="C36">
        <v>0</v>
      </c>
    </row>
    <row r="37" spans="2:3" x14ac:dyDescent="0.25">
      <c r="B37">
        <v>27</v>
      </c>
      <c r="C37">
        <v>0</v>
      </c>
    </row>
    <row r="38" spans="2:3" x14ac:dyDescent="0.25">
      <c r="B38">
        <v>28</v>
      </c>
      <c r="C38">
        <v>0</v>
      </c>
    </row>
    <row r="39" spans="2:3" x14ac:dyDescent="0.25">
      <c r="B39">
        <v>29</v>
      </c>
      <c r="C39">
        <v>0</v>
      </c>
    </row>
    <row r="40" spans="2:3" x14ac:dyDescent="0.25">
      <c r="B40">
        <v>30</v>
      </c>
      <c r="C40">
        <v>0</v>
      </c>
    </row>
    <row r="41" spans="2:3" x14ac:dyDescent="0.25">
      <c r="B41">
        <v>31</v>
      </c>
      <c r="C41">
        <v>0</v>
      </c>
    </row>
    <row r="42" spans="2:3" x14ac:dyDescent="0.25">
      <c r="B42">
        <v>32</v>
      </c>
      <c r="C42">
        <v>0</v>
      </c>
    </row>
    <row r="43" spans="2:3" x14ac:dyDescent="0.25">
      <c r="B43">
        <v>33</v>
      </c>
      <c r="C43">
        <v>0</v>
      </c>
    </row>
    <row r="44" spans="2:3" x14ac:dyDescent="0.25">
      <c r="B44">
        <v>34</v>
      </c>
      <c r="C44">
        <v>0</v>
      </c>
    </row>
    <row r="45" spans="2:3" x14ac:dyDescent="0.25">
      <c r="B45">
        <v>35</v>
      </c>
      <c r="C45">
        <v>0</v>
      </c>
    </row>
    <row r="46" spans="2:3" x14ac:dyDescent="0.25">
      <c r="B46">
        <v>36</v>
      </c>
      <c r="C46">
        <v>0</v>
      </c>
    </row>
    <row r="47" spans="2:3" x14ac:dyDescent="0.25">
      <c r="B47">
        <v>37</v>
      </c>
      <c r="C47">
        <v>0</v>
      </c>
    </row>
    <row r="48" spans="2:3" x14ac:dyDescent="0.25">
      <c r="B48">
        <v>38</v>
      </c>
      <c r="C48">
        <v>0</v>
      </c>
    </row>
    <row r="49" spans="2:3" x14ac:dyDescent="0.25">
      <c r="B49">
        <v>39</v>
      </c>
      <c r="C49">
        <v>0</v>
      </c>
    </row>
    <row r="50" spans="2:3" x14ac:dyDescent="0.25">
      <c r="B50">
        <v>40</v>
      </c>
      <c r="C50">
        <v>0</v>
      </c>
    </row>
    <row r="51" spans="2:3" x14ac:dyDescent="0.25">
      <c r="B51">
        <v>41</v>
      </c>
      <c r="C51">
        <v>0</v>
      </c>
    </row>
    <row r="52" spans="2:3" x14ac:dyDescent="0.25">
      <c r="B52">
        <v>42</v>
      </c>
      <c r="C52">
        <v>0</v>
      </c>
    </row>
    <row r="53" spans="2:3" x14ac:dyDescent="0.25">
      <c r="B53">
        <v>43</v>
      </c>
      <c r="C53">
        <v>0</v>
      </c>
    </row>
    <row r="54" spans="2:3" x14ac:dyDescent="0.25">
      <c r="B54">
        <v>44</v>
      </c>
      <c r="C54">
        <v>0</v>
      </c>
    </row>
    <row r="55" spans="2:3" x14ac:dyDescent="0.25">
      <c r="B55">
        <v>45</v>
      </c>
      <c r="C55">
        <v>0</v>
      </c>
    </row>
    <row r="56" spans="2:3" x14ac:dyDescent="0.25">
      <c r="B56">
        <v>46</v>
      </c>
      <c r="C56">
        <v>0</v>
      </c>
    </row>
    <row r="57" spans="2:3" x14ac:dyDescent="0.25">
      <c r="B57">
        <v>47</v>
      </c>
      <c r="C57">
        <v>0</v>
      </c>
    </row>
    <row r="58" spans="2:3" x14ac:dyDescent="0.25">
      <c r="B58">
        <v>48</v>
      </c>
      <c r="C58">
        <v>64.025986237092056</v>
      </c>
    </row>
    <row r="59" spans="2:3" x14ac:dyDescent="0.25">
      <c r="B59">
        <v>49</v>
      </c>
      <c r="C59">
        <v>63.421454479139584</v>
      </c>
    </row>
    <row r="60" spans="2:3" x14ac:dyDescent="0.25">
      <c r="B60">
        <v>50</v>
      </c>
      <c r="C60">
        <v>64.025986237092056</v>
      </c>
    </row>
    <row r="61" spans="2:3" x14ac:dyDescent="0.25">
      <c r="B61">
        <v>51</v>
      </c>
      <c r="C61">
        <v>63.421454479139584</v>
      </c>
    </row>
    <row r="62" spans="2:3" x14ac:dyDescent="0.25">
      <c r="B62">
        <v>52</v>
      </c>
      <c r="C62">
        <v>64.025986237092056</v>
      </c>
    </row>
    <row r="63" spans="2:3" x14ac:dyDescent="0.25">
      <c r="B63">
        <v>53</v>
      </c>
      <c r="C63">
        <v>63.421454479139584</v>
      </c>
    </row>
    <row r="64" spans="2:3" x14ac:dyDescent="0.25">
      <c r="B64">
        <v>54</v>
      </c>
      <c r="C64">
        <v>64.025986237092056</v>
      </c>
    </row>
    <row r="65" spans="2:3" x14ac:dyDescent="0.25">
      <c r="B65">
        <v>55</v>
      </c>
      <c r="C65">
        <v>63.421454479139584</v>
      </c>
    </row>
    <row r="66" spans="2:3" x14ac:dyDescent="0.25">
      <c r="B66">
        <v>56</v>
      </c>
      <c r="C66">
        <v>64.025986237092056</v>
      </c>
    </row>
    <row r="67" spans="2:3" x14ac:dyDescent="0.25">
      <c r="B67">
        <v>57</v>
      </c>
      <c r="C67">
        <v>63.421454479139584</v>
      </c>
    </row>
    <row r="68" spans="2:3" x14ac:dyDescent="0.25">
      <c r="B68">
        <v>58</v>
      </c>
      <c r="C68">
        <v>64.025986237092056</v>
      </c>
    </row>
    <row r="69" spans="2:3" x14ac:dyDescent="0.25">
      <c r="B69">
        <v>59</v>
      </c>
      <c r="C69">
        <v>63.421454479139584</v>
      </c>
    </row>
    <row r="70" spans="2:3" x14ac:dyDescent="0.25">
      <c r="B70">
        <v>60</v>
      </c>
      <c r="C70">
        <v>64.025986237092056</v>
      </c>
    </row>
    <row r="71" spans="2:3" x14ac:dyDescent="0.25">
      <c r="B71">
        <v>61</v>
      </c>
      <c r="C71">
        <v>63.421454479139584</v>
      </c>
    </row>
    <row r="72" spans="2:3" x14ac:dyDescent="0.25">
      <c r="B72">
        <v>62</v>
      </c>
      <c r="C72">
        <v>64.025986237092056</v>
      </c>
    </row>
    <row r="73" spans="2:3" x14ac:dyDescent="0.25">
      <c r="B73">
        <v>63</v>
      </c>
      <c r="C73">
        <v>64.636280377023553</v>
      </c>
    </row>
    <row r="74" spans="2:3" x14ac:dyDescent="0.25">
      <c r="B74">
        <v>64</v>
      </c>
      <c r="C74">
        <v>64.025986237092056</v>
      </c>
    </row>
    <row r="75" spans="2:3" x14ac:dyDescent="0.25">
      <c r="B75">
        <v>65</v>
      </c>
      <c r="C75">
        <v>64.636280377023553</v>
      </c>
    </row>
    <row r="76" spans="2:3" x14ac:dyDescent="0.25">
      <c r="B76">
        <v>66</v>
      </c>
      <c r="C76">
        <v>64.025986237092056</v>
      </c>
    </row>
    <row r="77" spans="2:3" x14ac:dyDescent="0.25">
      <c r="B77">
        <v>67</v>
      </c>
      <c r="C77">
        <v>64.636280377023553</v>
      </c>
    </row>
    <row r="78" spans="2:3" x14ac:dyDescent="0.25">
      <c r="B78">
        <v>68</v>
      </c>
      <c r="C78">
        <v>64.025986237092056</v>
      </c>
    </row>
    <row r="79" spans="2:3" x14ac:dyDescent="0.25">
      <c r="B79">
        <v>69</v>
      </c>
      <c r="C79">
        <v>64.636280377023553</v>
      </c>
    </row>
    <row r="80" spans="2:3" x14ac:dyDescent="0.25">
      <c r="B80">
        <v>70</v>
      </c>
      <c r="C80">
        <v>64.025986237092056</v>
      </c>
    </row>
    <row r="81" spans="2:3" x14ac:dyDescent="0.25">
      <c r="B81">
        <v>71</v>
      </c>
      <c r="C81">
        <v>64.636280377023553</v>
      </c>
    </row>
    <row r="82" spans="2:3" x14ac:dyDescent="0.25">
      <c r="B82">
        <v>72</v>
      </c>
      <c r="C82">
        <v>64.025986237092056</v>
      </c>
    </row>
    <row r="83" spans="2:3" x14ac:dyDescent="0.25">
      <c r="B83">
        <v>73</v>
      </c>
      <c r="C83">
        <v>64.636280377023553</v>
      </c>
    </row>
    <row r="84" spans="2:3" x14ac:dyDescent="0.25">
      <c r="B84">
        <v>74</v>
      </c>
      <c r="C84">
        <v>64.025986237092056</v>
      </c>
    </row>
    <row r="85" spans="2:3" x14ac:dyDescent="0.25">
      <c r="B85">
        <v>75</v>
      </c>
      <c r="C85">
        <v>64.636280377023553</v>
      </c>
    </row>
    <row r="86" spans="2:3" x14ac:dyDescent="0.25">
      <c r="B86">
        <v>76</v>
      </c>
      <c r="C86">
        <v>64.025986237092056</v>
      </c>
    </row>
    <row r="87" spans="2:3" x14ac:dyDescent="0.25">
      <c r="B87">
        <v>77</v>
      </c>
      <c r="C87">
        <v>64.636280377023553</v>
      </c>
    </row>
    <row r="88" spans="2:3" x14ac:dyDescent="0.25">
      <c r="B88">
        <v>78</v>
      </c>
      <c r="C88">
        <v>64.025986237092056</v>
      </c>
    </row>
    <row r="89" spans="2:3" x14ac:dyDescent="0.25">
      <c r="B89">
        <v>79</v>
      </c>
      <c r="C89">
        <v>64.636280377023553</v>
      </c>
    </row>
    <row r="90" spans="2:3" x14ac:dyDescent="0.25">
      <c r="B90">
        <v>80</v>
      </c>
      <c r="C90">
        <v>64.025986237092056</v>
      </c>
    </row>
    <row r="91" spans="2:3" x14ac:dyDescent="0.25">
      <c r="B91">
        <v>81</v>
      </c>
      <c r="C91">
        <v>64.636280377023553</v>
      </c>
    </row>
    <row r="92" spans="2:3" x14ac:dyDescent="0.25">
      <c r="B92">
        <v>82</v>
      </c>
      <c r="C92">
        <v>64.025986237092056</v>
      </c>
    </row>
    <row r="93" spans="2:3" x14ac:dyDescent="0.25">
      <c r="B93">
        <v>83</v>
      </c>
      <c r="C93">
        <v>64.636280377023553</v>
      </c>
    </row>
    <row r="94" spans="2:3" x14ac:dyDescent="0.25">
      <c r="B94">
        <v>84</v>
      </c>
      <c r="C94">
        <v>64.025986237092056</v>
      </c>
    </row>
    <row r="95" spans="2:3" x14ac:dyDescent="0.25">
      <c r="B95">
        <v>85</v>
      </c>
      <c r="C95">
        <v>64.636280377023553</v>
      </c>
    </row>
    <row r="96" spans="2:3" x14ac:dyDescent="0.25">
      <c r="B96">
        <v>86</v>
      </c>
      <c r="C96">
        <v>65.252391825818577</v>
      </c>
    </row>
    <row r="97" spans="2:3" x14ac:dyDescent="0.25">
      <c r="B97">
        <v>87</v>
      </c>
      <c r="C97">
        <v>64.636280377023553</v>
      </c>
    </row>
    <row r="98" spans="2:3" x14ac:dyDescent="0.25">
      <c r="B98">
        <v>88</v>
      </c>
      <c r="C98">
        <v>65.252391825818577</v>
      </c>
    </row>
    <row r="99" spans="2:3" x14ac:dyDescent="0.25">
      <c r="B99">
        <v>89</v>
      </c>
      <c r="C99">
        <v>64.636280377023553</v>
      </c>
    </row>
    <row r="100" spans="2:3" x14ac:dyDescent="0.25">
      <c r="B100">
        <v>90</v>
      </c>
      <c r="C100">
        <v>65.252391825818577</v>
      </c>
    </row>
    <row r="101" spans="2:3" x14ac:dyDescent="0.25">
      <c r="B101">
        <v>91</v>
      </c>
      <c r="C101">
        <v>64.636280377023553</v>
      </c>
    </row>
    <row r="102" spans="2:3" x14ac:dyDescent="0.25">
      <c r="B102">
        <v>92</v>
      </c>
      <c r="C102">
        <v>65.252391825818577</v>
      </c>
    </row>
    <row r="103" spans="2:3" x14ac:dyDescent="0.25">
      <c r="B103">
        <v>93</v>
      </c>
      <c r="C103">
        <v>64.636280377023553</v>
      </c>
    </row>
    <row r="104" spans="2:3" x14ac:dyDescent="0.25">
      <c r="B104">
        <v>94</v>
      </c>
      <c r="C104">
        <v>65.252391825818577</v>
      </c>
    </row>
    <row r="105" spans="2:3" x14ac:dyDescent="0.25">
      <c r="B105">
        <v>95</v>
      </c>
      <c r="C105">
        <v>64.636280377023553</v>
      </c>
    </row>
    <row r="106" spans="2:3" x14ac:dyDescent="0.25">
      <c r="B106">
        <v>96</v>
      </c>
      <c r="C106">
        <v>65.252391825818577</v>
      </c>
    </row>
    <row r="107" spans="2:3" x14ac:dyDescent="0.25">
      <c r="B107">
        <v>97</v>
      </c>
      <c r="C107">
        <v>64.636280377023553</v>
      </c>
    </row>
    <row r="108" spans="2:3" x14ac:dyDescent="0.25">
      <c r="B108">
        <v>98</v>
      </c>
      <c r="C108">
        <v>65.252391825818577</v>
      </c>
    </row>
    <row r="109" spans="2:3" x14ac:dyDescent="0.25">
      <c r="B109">
        <v>99</v>
      </c>
      <c r="C109">
        <v>64.636280377023553</v>
      </c>
    </row>
    <row r="110" spans="2:3" x14ac:dyDescent="0.25">
      <c r="B110">
        <v>100</v>
      </c>
      <c r="C110">
        <v>65.252391825818577</v>
      </c>
    </row>
    <row r="111" spans="2:3" x14ac:dyDescent="0.25">
      <c r="B111">
        <v>101</v>
      </c>
      <c r="C111">
        <v>64.636280377023553</v>
      </c>
    </row>
    <row r="112" spans="2:3" x14ac:dyDescent="0.25">
      <c r="B112">
        <v>102</v>
      </c>
      <c r="C112">
        <v>65.252391825818577</v>
      </c>
    </row>
    <row r="113" spans="2:3" x14ac:dyDescent="0.25">
      <c r="B113">
        <v>103</v>
      </c>
      <c r="C113">
        <v>64.636280377023553</v>
      </c>
    </row>
    <row r="114" spans="2:3" x14ac:dyDescent="0.25">
      <c r="B114">
        <v>104</v>
      </c>
      <c r="C114">
        <v>65.252391825818577</v>
      </c>
    </row>
    <row r="115" spans="2:3" x14ac:dyDescent="0.25">
      <c r="B115">
        <v>105</v>
      </c>
      <c r="C115">
        <v>64.636280377023553</v>
      </c>
    </row>
    <row r="116" spans="2:3" x14ac:dyDescent="0.25">
      <c r="B116">
        <v>106</v>
      </c>
      <c r="C116">
        <v>65.252391825818577</v>
      </c>
    </row>
    <row r="117" spans="2:3" x14ac:dyDescent="0.25">
      <c r="B117">
        <v>107</v>
      </c>
      <c r="C117">
        <v>64.636280377023553</v>
      </c>
    </row>
    <row r="118" spans="2:3" x14ac:dyDescent="0.25">
      <c r="B118">
        <v>108</v>
      </c>
      <c r="C118">
        <v>65.252391825818577</v>
      </c>
    </row>
    <row r="119" spans="2:3" x14ac:dyDescent="0.25">
      <c r="B119">
        <v>109</v>
      </c>
      <c r="C119">
        <v>65.874376033923426</v>
      </c>
    </row>
    <row r="120" spans="2:3" x14ac:dyDescent="0.25">
      <c r="B120">
        <v>110</v>
      </c>
      <c r="C120">
        <v>65.252391825818577</v>
      </c>
    </row>
    <row r="121" spans="2:3" x14ac:dyDescent="0.25">
      <c r="B121">
        <v>111</v>
      </c>
      <c r="C121">
        <v>65.874376033923426</v>
      </c>
    </row>
    <row r="122" spans="2:3" x14ac:dyDescent="0.25">
      <c r="B122">
        <v>112</v>
      </c>
      <c r="C122">
        <v>65.252391825818577</v>
      </c>
    </row>
    <row r="123" spans="2:3" x14ac:dyDescent="0.25">
      <c r="B123">
        <v>113</v>
      </c>
      <c r="C123">
        <v>65.874376033923426</v>
      </c>
    </row>
    <row r="124" spans="2:3" x14ac:dyDescent="0.25">
      <c r="B124">
        <v>114</v>
      </c>
      <c r="C124">
        <v>65.252391825818577</v>
      </c>
    </row>
    <row r="125" spans="2:3" x14ac:dyDescent="0.25">
      <c r="B125">
        <v>115</v>
      </c>
      <c r="C125">
        <v>65.874376033923426</v>
      </c>
    </row>
    <row r="126" spans="2:3" x14ac:dyDescent="0.25">
      <c r="B126">
        <v>116</v>
      </c>
      <c r="C126">
        <v>65.252391825818577</v>
      </c>
    </row>
    <row r="127" spans="2:3" x14ac:dyDescent="0.25">
      <c r="B127">
        <v>117</v>
      </c>
      <c r="C127">
        <v>65.874376033923426</v>
      </c>
    </row>
    <row r="128" spans="2:3" x14ac:dyDescent="0.25">
      <c r="B128">
        <v>118</v>
      </c>
      <c r="C128">
        <v>65.252391825818577</v>
      </c>
    </row>
    <row r="129" spans="2:3" x14ac:dyDescent="0.25">
      <c r="B129">
        <v>119</v>
      </c>
      <c r="C129">
        <v>65.874376033923426</v>
      </c>
    </row>
    <row r="130" spans="2:3" x14ac:dyDescent="0.25">
      <c r="B130">
        <v>120</v>
      </c>
      <c r="C130">
        <v>65.252391825818577</v>
      </c>
    </row>
    <row r="131" spans="2:3" x14ac:dyDescent="0.25">
      <c r="B131">
        <v>121</v>
      </c>
      <c r="C131">
        <v>65.874376033923426</v>
      </c>
    </row>
    <row r="132" spans="2:3" x14ac:dyDescent="0.25">
      <c r="B132">
        <v>122</v>
      </c>
      <c r="C132">
        <v>65.252391825818577</v>
      </c>
    </row>
    <row r="133" spans="2:3" x14ac:dyDescent="0.25">
      <c r="B133">
        <v>123</v>
      </c>
      <c r="C133">
        <v>65.874376033923426</v>
      </c>
    </row>
    <row r="134" spans="2:3" x14ac:dyDescent="0.25">
      <c r="B134">
        <v>124</v>
      </c>
      <c r="C134">
        <v>65.252391825818577</v>
      </c>
    </row>
    <row r="135" spans="2:3" x14ac:dyDescent="0.25">
      <c r="B135">
        <v>125</v>
      </c>
      <c r="C135">
        <v>65.874376033923426</v>
      </c>
    </row>
    <row r="136" spans="2:3" x14ac:dyDescent="0.25">
      <c r="B136">
        <v>126</v>
      </c>
      <c r="C136">
        <v>65.252391825818577</v>
      </c>
    </row>
    <row r="137" spans="2:3" x14ac:dyDescent="0.25">
      <c r="B137">
        <v>127</v>
      </c>
      <c r="C137">
        <v>65.874376033923426</v>
      </c>
    </row>
    <row r="138" spans="2:3" x14ac:dyDescent="0.25">
      <c r="B138">
        <v>128</v>
      </c>
      <c r="C138">
        <v>65.252391825818577</v>
      </c>
    </row>
    <row r="139" spans="2:3" x14ac:dyDescent="0.25">
      <c r="B139">
        <v>129</v>
      </c>
      <c r="C139">
        <v>65.874376033923426</v>
      </c>
    </row>
    <row r="140" spans="2:3" x14ac:dyDescent="0.25">
      <c r="B140">
        <v>130</v>
      </c>
      <c r="C140">
        <v>65.252391825818577</v>
      </c>
    </row>
    <row r="141" spans="2:3" x14ac:dyDescent="0.25">
      <c r="B141">
        <v>131</v>
      </c>
      <c r="C141">
        <v>65.874376033923426</v>
      </c>
    </row>
    <row r="142" spans="2:3" x14ac:dyDescent="0.25">
      <c r="B142">
        <v>132</v>
      </c>
      <c r="C142">
        <v>66.502288980336672</v>
      </c>
    </row>
    <row r="143" spans="2:3" x14ac:dyDescent="0.25">
      <c r="B143">
        <v>133</v>
      </c>
      <c r="C143">
        <v>65.874376033923426</v>
      </c>
    </row>
    <row r="144" spans="2:3" x14ac:dyDescent="0.25">
      <c r="B144">
        <v>134</v>
      </c>
      <c r="C144">
        <v>66.502288980336672</v>
      </c>
    </row>
    <row r="145" spans="2:3" x14ac:dyDescent="0.25">
      <c r="B145">
        <v>135</v>
      </c>
      <c r="C145">
        <v>65.874376033923426</v>
      </c>
    </row>
    <row r="146" spans="2:3" x14ac:dyDescent="0.25">
      <c r="B146">
        <v>136</v>
      </c>
      <c r="C146">
        <v>66.502288980336672</v>
      </c>
    </row>
    <row r="147" spans="2:3" x14ac:dyDescent="0.25">
      <c r="B147">
        <v>137</v>
      </c>
      <c r="C147">
        <v>65.874376033923426</v>
      </c>
    </row>
    <row r="148" spans="2:3" x14ac:dyDescent="0.25">
      <c r="B148">
        <v>138</v>
      </c>
      <c r="C148">
        <v>66.502288980336672</v>
      </c>
    </row>
    <row r="149" spans="2:3" x14ac:dyDescent="0.25">
      <c r="B149">
        <v>139</v>
      </c>
      <c r="C149">
        <v>65.874376033923426</v>
      </c>
    </row>
    <row r="150" spans="2:3" x14ac:dyDescent="0.25">
      <c r="B150">
        <v>140</v>
      </c>
      <c r="C150">
        <v>66.502288980336672</v>
      </c>
    </row>
    <row r="151" spans="2:3" x14ac:dyDescent="0.25">
      <c r="B151">
        <v>141</v>
      </c>
      <c r="C151">
        <v>65.874376033923426</v>
      </c>
    </row>
    <row r="152" spans="2:3" x14ac:dyDescent="0.25">
      <c r="B152">
        <v>142</v>
      </c>
      <c r="C152">
        <v>66.502288980336672</v>
      </c>
    </row>
    <row r="153" spans="2:3" x14ac:dyDescent="0.25">
      <c r="B153">
        <v>143</v>
      </c>
      <c r="C153">
        <v>65.874376033923426</v>
      </c>
    </row>
    <row r="154" spans="2:3" x14ac:dyDescent="0.25">
      <c r="B154">
        <v>144</v>
      </c>
      <c r="C154">
        <v>66.502288980336672</v>
      </c>
    </row>
    <row r="155" spans="2:3" x14ac:dyDescent="0.25">
      <c r="B155">
        <v>145</v>
      </c>
      <c r="C155">
        <v>65.874376033923426</v>
      </c>
    </row>
    <row r="156" spans="2:3" x14ac:dyDescent="0.25">
      <c r="B156">
        <v>146</v>
      </c>
      <c r="C156">
        <v>66.502288980336672</v>
      </c>
    </row>
    <row r="157" spans="2:3" x14ac:dyDescent="0.25">
      <c r="B157">
        <v>147</v>
      </c>
      <c r="C157">
        <v>65.874376033923426</v>
      </c>
    </row>
    <row r="158" spans="2:3" x14ac:dyDescent="0.25">
      <c r="B158">
        <v>148</v>
      </c>
      <c r="C158">
        <v>66.502288980336672</v>
      </c>
    </row>
    <row r="159" spans="2:3" x14ac:dyDescent="0.25">
      <c r="B159">
        <v>149</v>
      </c>
      <c r="C159">
        <v>65.874376033923426</v>
      </c>
    </row>
    <row r="160" spans="2:3" x14ac:dyDescent="0.25">
      <c r="B160">
        <v>150</v>
      </c>
      <c r="C160">
        <v>66.502288980336672</v>
      </c>
    </row>
    <row r="161" spans="2:3" x14ac:dyDescent="0.25">
      <c r="B161">
        <v>151</v>
      </c>
      <c r="C161">
        <v>65.874376033923426</v>
      </c>
    </row>
    <row r="162" spans="2:3" x14ac:dyDescent="0.25">
      <c r="B162">
        <v>152</v>
      </c>
      <c r="C162">
        <v>66.502288980336672</v>
      </c>
    </row>
    <row r="163" spans="2:3" x14ac:dyDescent="0.25">
      <c r="B163">
        <v>153</v>
      </c>
      <c r="C163">
        <v>67.136187177647329</v>
      </c>
    </row>
    <row r="164" spans="2:3" x14ac:dyDescent="0.25">
      <c r="B164">
        <v>154</v>
      </c>
      <c r="C164">
        <v>66.502288980336672</v>
      </c>
    </row>
    <row r="165" spans="2:3" x14ac:dyDescent="0.25">
      <c r="B165">
        <v>155</v>
      </c>
      <c r="C165">
        <v>67.136187177647329</v>
      </c>
    </row>
    <row r="166" spans="2:3" x14ac:dyDescent="0.25">
      <c r="B166">
        <v>156</v>
      </c>
      <c r="C166">
        <v>66.502288980336672</v>
      </c>
    </row>
    <row r="167" spans="2:3" x14ac:dyDescent="0.25">
      <c r="B167">
        <v>157</v>
      </c>
      <c r="C167">
        <v>67.136187177647329</v>
      </c>
    </row>
    <row r="168" spans="2:3" x14ac:dyDescent="0.25">
      <c r="B168">
        <v>158</v>
      </c>
      <c r="C168">
        <v>66.502288980336672</v>
      </c>
    </row>
    <row r="169" spans="2:3" x14ac:dyDescent="0.25">
      <c r="B169">
        <v>159</v>
      </c>
      <c r="C169">
        <v>67.136187177647329</v>
      </c>
    </row>
    <row r="170" spans="2:3" x14ac:dyDescent="0.25">
      <c r="B170">
        <v>160</v>
      </c>
      <c r="C170">
        <v>66.502288980336672</v>
      </c>
    </row>
    <row r="171" spans="2:3" x14ac:dyDescent="0.25">
      <c r="B171">
        <v>161</v>
      </c>
      <c r="C171">
        <v>67.136187177647329</v>
      </c>
    </row>
    <row r="172" spans="2:3" x14ac:dyDescent="0.25">
      <c r="B172">
        <v>162</v>
      </c>
      <c r="C172">
        <v>66.502288980336672</v>
      </c>
    </row>
    <row r="173" spans="2:3" x14ac:dyDescent="0.25">
      <c r="B173">
        <v>163</v>
      </c>
      <c r="C173">
        <v>67.136187177647329</v>
      </c>
    </row>
    <row r="174" spans="2:3" x14ac:dyDescent="0.25">
      <c r="B174">
        <v>164</v>
      </c>
      <c r="C174">
        <v>66.502288980336672</v>
      </c>
    </row>
    <row r="175" spans="2:3" x14ac:dyDescent="0.25">
      <c r="B175">
        <v>165</v>
      </c>
      <c r="C175">
        <v>67.136187177647329</v>
      </c>
    </row>
    <row r="176" spans="2:3" x14ac:dyDescent="0.25">
      <c r="B176">
        <v>166</v>
      </c>
      <c r="C176">
        <v>66.502288980336672</v>
      </c>
    </row>
    <row r="177" spans="2:3" x14ac:dyDescent="0.25">
      <c r="B177">
        <v>167</v>
      </c>
      <c r="C177">
        <v>67.136187177647329</v>
      </c>
    </row>
    <row r="178" spans="2:3" x14ac:dyDescent="0.25">
      <c r="B178">
        <v>168</v>
      </c>
      <c r="C178">
        <v>66.502288980336672</v>
      </c>
    </row>
    <row r="179" spans="2:3" x14ac:dyDescent="0.25">
      <c r="B179">
        <v>169</v>
      </c>
      <c r="C179">
        <v>67.136187177647329</v>
      </c>
    </row>
    <row r="180" spans="2:3" x14ac:dyDescent="0.25">
      <c r="B180">
        <v>170</v>
      </c>
      <c r="C180">
        <v>66.502288980336672</v>
      </c>
    </row>
    <row r="181" spans="2:3" x14ac:dyDescent="0.25">
      <c r="B181">
        <v>171</v>
      </c>
      <c r="C181">
        <v>67.136187177647329</v>
      </c>
    </row>
    <row r="182" spans="2:3" x14ac:dyDescent="0.25">
      <c r="B182">
        <v>172</v>
      </c>
      <c r="C182">
        <v>67.776127677121039</v>
      </c>
    </row>
    <row r="183" spans="2:3" x14ac:dyDescent="0.25">
      <c r="B183">
        <v>173</v>
      </c>
      <c r="C183">
        <v>67.136187177647329</v>
      </c>
    </row>
    <row r="184" spans="2:3" x14ac:dyDescent="0.25">
      <c r="B184">
        <v>174</v>
      </c>
      <c r="C184">
        <v>67.776127677121039</v>
      </c>
    </row>
    <row r="185" spans="2:3" x14ac:dyDescent="0.25">
      <c r="B185">
        <v>175</v>
      </c>
      <c r="C185">
        <v>67.136187177647329</v>
      </c>
    </row>
    <row r="186" spans="2:3" x14ac:dyDescent="0.25">
      <c r="B186">
        <v>176</v>
      </c>
      <c r="C186">
        <v>67.776127677121039</v>
      </c>
    </row>
    <row r="187" spans="2:3" x14ac:dyDescent="0.25">
      <c r="B187">
        <v>177</v>
      </c>
      <c r="C187">
        <v>67.136187177647329</v>
      </c>
    </row>
    <row r="188" spans="2:3" x14ac:dyDescent="0.25">
      <c r="B188">
        <v>178</v>
      </c>
      <c r="C188">
        <v>67.776127677121039</v>
      </c>
    </row>
    <row r="189" spans="2:3" x14ac:dyDescent="0.25">
      <c r="B189">
        <v>179</v>
      </c>
      <c r="C189">
        <v>67.136187177647329</v>
      </c>
    </row>
    <row r="190" spans="2:3" x14ac:dyDescent="0.25">
      <c r="B190">
        <v>180</v>
      </c>
      <c r="C190">
        <v>67.776127677121039</v>
      </c>
    </row>
    <row r="191" spans="2:3" x14ac:dyDescent="0.25">
      <c r="B191">
        <v>181</v>
      </c>
      <c r="C191">
        <v>67.136187177647329</v>
      </c>
    </row>
    <row r="192" spans="2:3" x14ac:dyDescent="0.25">
      <c r="B192">
        <v>182</v>
      </c>
      <c r="C192">
        <v>67.776127677121039</v>
      </c>
    </row>
    <row r="193" spans="2:3" x14ac:dyDescent="0.25">
      <c r="B193">
        <v>183</v>
      </c>
      <c r="C193">
        <v>67.136187177647329</v>
      </c>
    </row>
    <row r="194" spans="2:3" x14ac:dyDescent="0.25">
      <c r="B194">
        <v>184</v>
      </c>
      <c r="C194">
        <v>67.776127677121039</v>
      </c>
    </row>
    <row r="195" spans="2:3" x14ac:dyDescent="0.25">
      <c r="B195">
        <v>185</v>
      </c>
      <c r="C195">
        <v>67.136187177647329</v>
      </c>
    </row>
    <row r="196" spans="2:3" x14ac:dyDescent="0.25">
      <c r="B196">
        <v>186</v>
      </c>
      <c r="C196">
        <v>67.776127677121039</v>
      </c>
    </row>
    <row r="197" spans="2:3" x14ac:dyDescent="0.25">
      <c r="B197">
        <v>187</v>
      </c>
      <c r="C197">
        <v>67.136187177647329</v>
      </c>
    </row>
    <row r="198" spans="2:3" x14ac:dyDescent="0.25">
      <c r="B198">
        <v>188</v>
      </c>
      <c r="C198">
        <v>67.776127677121039</v>
      </c>
    </row>
    <row r="199" spans="2:3" x14ac:dyDescent="0.25">
      <c r="B199">
        <v>189</v>
      </c>
      <c r="C199">
        <v>67.136187177647329</v>
      </c>
    </row>
    <row r="200" spans="2:3" x14ac:dyDescent="0.25">
      <c r="B200">
        <v>190</v>
      </c>
      <c r="C200">
        <v>67.776127677121039</v>
      </c>
    </row>
    <row r="201" spans="2:3" x14ac:dyDescent="0.25">
      <c r="B201">
        <v>191</v>
      </c>
      <c r="C201">
        <v>67.136187177647329</v>
      </c>
    </row>
    <row r="202" spans="2:3" x14ac:dyDescent="0.25">
      <c r="B202">
        <v>192</v>
      </c>
      <c r="C202">
        <v>67.776127677121039</v>
      </c>
    </row>
    <row r="203" spans="2:3" x14ac:dyDescent="0.25">
      <c r="B203">
        <v>193</v>
      </c>
      <c r="C203">
        <v>68.422168073834726</v>
      </c>
    </row>
    <row r="204" spans="2:3" x14ac:dyDescent="0.25">
      <c r="B204">
        <v>194</v>
      </c>
      <c r="C204">
        <v>67.776127677121039</v>
      </c>
    </row>
    <row r="205" spans="2:3" x14ac:dyDescent="0.25">
      <c r="B205">
        <v>195</v>
      </c>
      <c r="C205">
        <v>68.422168073834726</v>
      </c>
    </row>
    <row r="206" spans="2:3" x14ac:dyDescent="0.25">
      <c r="B206">
        <v>196</v>
      </c>
      <c r="C206">
        <v>67.776127677121039</v>
      </c>
    </row>
    <row r="207" spans="2:3" x14ac:dyDescent="0.25">
      <c r="B207">
        <v>197</v>
      </c>
      <c r="C207">
        <v>68.422168073834726</v>
      </c>
    </row>
    <row r="208" spans="2:3" x14ac:dyDescent="0.25">
      <c r="B208">
        <v>198</v>
      </c>
      <c r="C208">
        <v>67.776127677121039</v>
      </c>
    </row>
    <row r="209" spans="2:3" x14ac:dyDescent="0.25">
      <c r="B209">
        <v>199</v>
      </c>
      <c r="C209">
        <v>68.422168073834726</v>
      </c>
    </row>
    <row r="210" spans="2:3" x14ac:dyDescent="0.25">
      <c r="B210">
        <v>200</v>
      </c>
      <c r="C210">
        <v>67.776127677121039</v>
      </c>
    </row>
    <row r="211" spans="2:3" x14ac:dyDescent="0.25">
      <c r="B211">
        <v>201</v>
      </c>
      <c r="C211">
        <v>68.422168073834726</v>
      </c>
    </row>
    <row r="212" spans="2:3" x14ac:dyDescent="0.25">
      <c r="B212">
        <v>202</v>
      </c>
      <c r="C212">
        <v>67.776127677121039</v>
      </c>
    </row>
    <row r="213" spans="2:3" x14ac:dyDescent="0.25">
      <c r="B213">
        <v>203</v>
      </c>
      <c r="C213">
        <v>68.422168073834726</v>
      </c>
    </row>
    <row r="214" spans="2:3" x14ac:dyDescent="0.25">
      <c r="B214">
        <v>204</v>
      </c>
      <c r="C214">
        <v>67.776127677121039</v>
      </c>
    </row>
    <row r="215" spans="2:3" x14ac:dyDescent="0.25">
      <c r="B215">
        <v>205</v>
      </c>
      <c r="C215">
        <v>68.422168073834726</v>
      </c>
    </row>
    <row r="216" spans="2:3" x14ac:dyDescent="0.25">
      <c r="B216">
        <v>206</v>
      </c>
      <c r="C216">
        <v>67.776127677121039</v>
      </c>
    </row>
    <row r="217" spans="2:3" x14ac:dyDescent="0.25">
      <c r="B217">
        <v>207</v>
      </c>
      <c r="C217">
        <v>68.422168073834726</v>
      </c>
    </row>
    <row r="218" spans="2:3" x14ac:dyDescent="0.25">
      <c r="B218">
        <v>208</v>
      </c>
      <c r="C218">
        <v>67.776127677121039</v>
      </c>
    </row>
    <row r="219" spans="2:3" x14ac:dyDescent="0.25">
      <c r="B219">
        <v>209</v>
      </c>
      <c r="C219">
        <v>68.422168073834726</v>
      </c>
    </row>
    <row r="220" spans="2:3" x14ac:dyDescent="0.25">
      <c r="B220">
        <v>210</v>
      </c>
      <c r="C220">
        <v>69.074366511860148</v>
      </c>
    </row>
    <row r="221" spans="2:3" x14ac:dyDescent="0.25">
      <c r="B221">
        <v>211</v>
      </c>
      <c r="C221">
        <v>68.422168073834726</v>
      </c>
    </row>
    <row r="222" spans="2:3" x14ac:dyDescent="0.25">
      <c r="B222">
        <v>212</v>
      </c>
      <c r="C222">
        <v>69.074366511860148</v>
      </c>
    </row>
    <row r="223" spans="2:3" x14ac:dyDescent="0.25">
      <c r="B223">
        <v>213</v>
      </c>
      <c r="C223">
        <v>68.422168073834726</v>
      </c>
    </row>
    <row r="224" spans="2:3" x14ac:dyDescent="0.25">
      <c r="B224">
        <v>214</v>
      </c>
      <c r="C224">
        <v>69.074366511860148</v>
      </c>
    </row>
    <row r="225" spans="2:3" x14ac:dyDescent="0.25">
      <c r="B225">
        <v>215</v>
      </c>
      <c r="C225">
        <v>68.422168073834726</v>
      </c>
    </row>
    <row r="226" spans="2:3" x14ac:dyDescent="0.25">
      <c r="B226">
        <v>216</v>
      </c>
      <c r="C226">
        <v>69.074366511860148</v>
      </c>
    </row>
    <row r="227" spans="2:3" x14ac:dyDescent="0.25">
      <c r="B227">
        <v>217</v>
      </c>
      <c r="C227">
        <v>68.422168073834726</v>
      </c>
    </row>
    <row r="228" spans="2:3" x14ac:dyDescent="0.25">
      <c r="B228">
        <v>218</v>
      </c>
      <c r="C228">
        <v>69.074366511860148</v>
      </c>
    </row>
    <row r="229" spans="2:3" x14ac:dyDescent="0.25">
      <c r="B229">
        <v>219</v>
      </c>
      <c r="C229">
        <v>68.422168073834726</v>
      </c>
    </row>
    <row r="230" spans="2:3" x14ac:dyDescent="0.25">
      <c r="B230">
        <v>220</v>
      </c>
      <c r="C230">
        <v>69.074366511860148</v>
      </c>
    </row>
    <row r="231" spans="2:3" x14ac:dyDescent="0.25">
      <c r="B231">
        <v>221</v>
      </c>
      <c r="C231">
        <v>68.422168073834726</v>
      </c>
    </row>
    <row r="232" spans="2:3" x14ac:dyDescent="0.25">
      <c r="B232">
        <v>222</v>
      </c>
      <c r="C232">
        <v>69.074366511860148</v>
      </c>
    </row>
    <row r="233" spans="2:3" x14ac:dyDescent="0.25">
      <c r="B233">
        <v>223</v>
      </c>
      <c r="C233">
        <v>68.422168073834726</v>
      </c>
    </row>
    <row r="234" spans="2:3" x14ac:dyDescent="0.25">
      <c r="B234">
        <v>224</v>
      </c>
      <c r="C234">
        <v>69.074366511860148</v>
      </c>
    </row>
    <row r="235" spans="2:3" x14ac:dyDescent="0.25">
      <c r="B235">
        <v>225</v>
      </c>
      <c r="C235">
        <v>68.422168073834726</v>
      </c>
    </row>
    <row r="236" spans="2:3" x14ac:dyDescent="0.25">
      <c r="B236">
        <v>226</v>
      </c>
      <c r="C236">
        <v>69.074366511860148</v>
      </c>
    </row>
    <row r="237" spans="2:3" x14ac:dyDescent="0.25">
      <c r="B237">
        <v>227</v>
      </c>
      <c r="C237">
        <v>68.422168073834726</v>
      </c>
    </row>
    <row r="238" spans="2:3" x14ac:dyDescent="0.25">
      <c r="B238">
        <v>228</v>
      </c>
      <c r="C238">
        <v>69.074366511860148</v>
      </c>
    </row>
    <row r="239" spans="2:3" x14ac:dyDescent="0.25">
      <c r="B239">
        <v>229</v>
      </c>
      <c r="C239">
        <v>69.732781689496974</v>
      </c>
    </row>
    <row r="240" spans="2:3" x14ac:dyDescent="0.25">
      <c r="B240">
        <v>230</v>
      </c>
      <c r="C240">
        <v>69.074366511860148</v>
      </c>
    </row>
    <row r="241" spans="2:3" x14ac:dyDescent="0.25">
      <c r="B241">
        <v>231</v>
      </c>
      <c r="C241">
        <v>69.732781689496974</v>
      </c>
    </row>
    <row r="242" spans="2:3" x14ac:dyDescent="0.25">
      <c r="B242">
        <v>232</v>
      </c>
      <c r="C242">
        <v>69.074366511860148</v>
      </c>
    </row>
    <row r="243" spans="2:3" x14ac:dyDescent="0.25">
      <c r="B243">
        <v>233</v>
      </c>
      <c r="C243">
        <v>69.732781689496974</v>
      </c>
    </row>
    <row r="244" spans="2:3" x14ac:dyDescent="0.25">
      <c r="B244">
        <v>234</v>
      </c>
      <c r="C244">
        <v>69.074366511860148</v>
      </c>
    </row>
    <row r="245" spans="2:3" x14ac:dyDescent="0.25">
      <c r="B245">
        <v>235</v>
      </c>
      <c r="C245">
        <v>69.732781689496974</v>
      </c>
    </row>
    <row r="246" spans="2:3" x14ac:dyDescent="0.25">
      <c r="B246">
        <v>236</v>
      </c>
      <c r="C246">
        <v>69.074366511860148</v>
      </c>
    </row>
    <row r="247" spans="2:3" x14ac:dyDescent="0.25">
      <c r="B247">
        <v>237</v>
      </c>
      <c r="C247">
        <v>69.732781689496974</v>
      </c>
    </row>
    <row r="248" spans="2:3" x14ac:dyDescent="0.25">
      <c r="B248">
        <v>238</v>
      </c>
      <c r="C248">
        <v>69.074366511860148</v>
      </c>
    </row>
    <row r="249" spans="2:3" x14ac:dyDescent="0.25">
      <c r="B249">
        <v>239</v>
      </c>
      <c r="C249">
        <v>69.732781689496974</v>
      </c>
    </row>
    <row r="250" spans="2:3" x14ac:dyDescent="0.25">
      <c r="B250">
        <v>240</v>
      </c>
      <c r="C250">
        <v>69.074366511860148</v>
      </c>
    </row>
    <row r="251" spans="2:3" x14ac:dyDescent="0.25">
      <c r="B251">
        <v>241</v>
      </c>
      <c r="C251">
        <v>69.732781689496974</v>
      </c>
    </row>
    <row r="252" spans="2:3" x14ac:dyDescent="0.25">
      <c r="B252">
        <v>242</v>
      </c>
      <c r="C252">
        <v>69.074366511860148</v>
      </c>
    </row>
    <row r="253" spans="2:3" x14ac:dyDescent="0.25">
      <c r="B253">
        <v>243</v>
      </c>
      <c r="C253">
        <v>69.732781689496974</v>
      </c>
    </row>
    <row r="254" spans="2:3" x14ac:dyDescent="0.25">
      <c r="B254">
        <v>244</v>
      </c>
      <c r="C254">
        <v>69.074366511860148</v>
      </c>
    </row>
    <row r="255" spans="2:3" x14ac:dyDescent="0.25">
      <c r="B255">
        <v>245</v>
      </c>
      <c r="C255">
        <v>69.732781689496974</v>
      </c>
    </row>
    <row r="256" spans="2:3" x14ac:dyDescent="0.25">
      <c r="B256">
        <v>246</v>
      </c>
      <c r="C256">
        <v>70.397472864555624</v>
      </c>
    </row>
    <row r="257" spans="2:3" x14ac:dyDescent="0.25">
      <c r="B257">
        <v>247</v>
      </c>
      <c r="C257">
        <v>69.732781689496974</v>
      </c>
    </row>
    <row r="258" spans="2:3" x14ac:dyDescent="0.25">
      <c r="B258">
        <v>248</v>
      </c>
      <c r="C258">
        <v>70.397472864555624</v>
      </c>
    </row>
    <row r="259" spans="2:3" x14ac:dyDescent="0.25">
      <c r="B259">
        <v>249</v>
      </c>
      <c r="C259">
        <v>69.732781689496974</v>
      </c>
    </row>
    <row r="260" spans="2:3" x14ac:dyDescent="0.25">
      <c r="B260">
        <v>250</v>
      </c>
      <c r="C260">
        <v>70.397472864555624</v>
      </c>
    </row>
    <row r="261" spans="2:3" x14ac:dyDescent="0.25">
      <c r="B261">
        <v>251</v>
      </c>
      <c r="C261">
        <v>69.732781689496974</v>
      </c>
    </row>
    <row r="262" spans="2:3" x14ac:dyDescent="0.25">
      <c r="B262">
        <v>252</v>
      </c>
      <c r="C262">
        <v>70.397472864555624</v>
      </c>
    </row>
    <row r="263" spans="2:3" x14ac:dyDescent="0.25">
      <c r="B263">
        <v>253</v>
      </c>
      <c r="C263">
        <v>69.732781689496974</v>
      </c>
    </row>
    <row r="264" spans="2:3" x14ac:dyDescent="0.25">
      <c r="B264">
        <v>254</v>
      </c>
      <c r="C264">
        <v>70.397472864555624</v>
      </c>
    </row>
    <row r="265" spans="2:3" x14ac:dyDescent="0.25">
      <c r="B265">
        <v>255</v>
      </c>
      <c r="C265">
        <v>69.732781689496974</v>
      </c>
    </row>
    <row r="266" spans="2:3" x14ac:dyDescent="0.25">
      <c r="B266">
        <v>256</v>
      </c>
      <c r="C266">
        <v>70.397472864555624</v>
      </c>
    </row>
    <row r="267" spans="2:3" x14ac:dyDescent="0.25">
      <c r="B267">
        <v>257</v>
      </c>
      <c r="C267">
        <v>69.732781689496974</v>
      </c>
    </row>
    <row r="268" spans="2:3" x14ac:dyDescent="0.25">
      <c r="B268">
        <v>258</v>
      </c>
      <c r="C268">
        <v>70.397472864555624</v>
      </c>
    </row>
    <row r="269" spans="2:3" x14ac:dyDescent="0.25">
      <c r="B269">
        <v>259</v>
      </c>
      <c r="C269">
        <v>69.732781689496974</v>
      </c>
    </row>
    <row r="270" spans="2:3" x14ac:dyDescent="0.25">
      <c r="B270">
        <v>260</v>
      </c>
      <c r="C270">
        <v>70.397472864555624</v>
      </c>
    </row>
    <row r="271" spans="2:3" x14ac:dyDescent="0.25">
      <c r="B271">
        <v>261</v>
      </c>
      <c r="C271">
        <v>69.732781689496974</v>
      </c>
    </row>
    <row r="272" spans="2:3" x14ac:dyDescent="0.25">
      <c r="B272">
        <v>262</v>
      </c>
      <c r="C272">
        <v>70.397472864555624</v>
      </c>
    </row>
    <row r="273" spans="2:3" x14ac:dyDescent="0.25">
      <c r="B273">
        <v>263</v>
      </c>
      <c r="C273">
        <v>71.068499859690519</v>
      </c>
    </row>
    <row r="274" spans="2:3" x14ac:dyDescent="0.25">
      <c r="B274">
        <v>264</v>
      </c>
      <c r="C274">
        <v>70.397472864555624</v>
      </c>
    </row>
    <row r="275" spans="2:3" x14ac:dyDescent="0.25">
      <c r="B275">
        <v>265</v>
      </c>
      <c r="C275">
        <v>71.068499859690519</v>
      </c>
    </row>
    <row r="276" spans="2:3" x14ac:dyDescent="0.25">
      <c r="B276">
        <v>266</v>
      </c>
      <c r="C276">
        <v>70.397472864555624</v>
      </c>
    </row>
    <row r="277" spans="2:3" x14ac:dyDescent="0.25">
      <c r="B277">
        <v>267</v>
      </c>
      <c r="C277">
        <v>71.068499859690519</v>
      </c>
    </row>
    <row r="278" spans="2:3" x14ac:dyDescent="0.25">
      <c r="B278">
        <v>268</v>
      </c>
      <c r="C278">
        <v>70.397472864555624</v>
      </c>
    </row>
    <row r="279" spans="2:3" x14ac:dyDescent="0.25">
      <c r="B279">
        <v>269</v>
      </c>
      <c r="C279">
        <v>71.068499859690519</v>
      </c>
    </row>
    <row r="280" spans="2:3" x14ac:dyDescent="0.25">
      <c r="B280">
        <v>270</v>
      </c>
      <c r="C280">
        <v>70.397472864555624</v>
      </c>
    </row>
    <row r="281" spans="2:3" x14ac:dyDescent="0.25">
      <c r="B281">
        <v>271</v>
      </c>
      <c r="C281">
        <v>71.068499859690519</v>
      </c>
    </row>
    <row r="282" spans="2:3" x14ac:dyDescent="0.25">
      <c r="B282">
        <v>272</v>
      </c>
      <c r="C282">
        <v>70.397472864555624</v>
      </c>
    </row>
    <row r="283" spans="2:3" x14ac:dyDescent="0.25">
      <c r="B283">
        <v>273</v>
      </c>
      <c r="C283">
        <v>71.068499859690519</v>
      </c>
    </row>
    <row r="284" spans="2:3" x14ac:dyDescent="0.25">
      <c r="B284">
        <v>274</v>
      </c>
      <c r="C284">
        <v>70.397472864555624</v>
      </c>
    </row>
    <row r="285" spans="2:3" x14ac:dyDescent="0.25">
      <c r="B285">
        <v>275</v>
      </c>
      <c r="C285">
        <v>71.068499859690519</v>
      </c>
    </row>
    <row r="286" spans="2:3" x14ac:dyDescent="0.25">
      <c r="B286">
        <v>276</v>
      </c>
      <c r="C286">
        <v>70.397472864555624</v>
      </c>
    </row>
    <row r="287" spans="2:3" x14ac:dyDescent="0.25">
      <c r="B287">
        <v>277</v>
      </c>
      <c r="C287">
        <v>71.068499859690519</v>
      </c>
    </row>
    <row r="288" spans="2:3" x14ac:dyDescent="0.25">
      <c r="B288">
        <v>278</v>
      </c>
      <c r="C288">
        <v>71.745923067784162</v>
      </c>
    </row>
    <row r="289" spans="2:3" x14ac:dyDescent="0.25">
      <c r="B289">
        <v>279</v>
      </c>
      <c r="C289">
        <v>71.068499859690519</v>
      </c>
    </row>
    <row r="290" spans="2:3" x14ac:dyDescent="0.25">
      <c r="B290">
        <v>280</v>
      </c>
      <c r="C290">
        <v>71.745923067784162</v>
      </c>
    </row>
    <row r="291" spans="2:3" x14ac:dyDescent="0.25">
      <c r="B291">
        <v>281</v>
      </c>
      <c r="C291">
        <v>71.068499859690519</v>
      </c>
    </row>
    <row r="292" spans="2:3" x14ac:dyDescent="0.25">
      <c r="B292">
        <v>282</v>
      </c>
      <c r="C292">
        <v>71.745923067784162</v>
      </c>
    </row>
    <row r="293" spans="2:3" x14ac:dyDescent="0.25">
      <c r="B293">
        <v>283</v>
      </c>
      <c r="C293">
        <v>71.068499859690519</v>
      </c>
    </row>
    <row r="294" spans="2:3" x14ac:dyDescent="0.25">
      <c r="B294">
        <v>284</v>
      </c>
      <c r="C294">
        <v>71.745923067784162</v>
      </c>
    </row>
    <row r="295" spans="2:3" x14ac:dyDescent="0.25">
      <c r="B295">
        <v>285</v>
      </c>
      <c r="C295">
        <v>71.068499859690519</v>
      </c>
    </row>
    <row r="296" spans="2:3" x14ac:dyDescent="0.25">
      <c r="B296">
        <v>286</v>
      </c>
      <c r="C296">
        <v>71.745923067784162</v>
      </c>
    </row>
    <row r="297" spans="2:3" x14ac:dyDescent="0.25">
      <c r="B297">
        <v>287</v>
      </c>
      <c r="C297">
        <v>71.068499859690519</v>
      </c>
    </row>
    <row r="298" spans="2:3" x14ac:dyDescent="0.25">
      <c r="B298">
        <v>288</v>
      </c>
      <c r="C298">
        <v>71.745923067784162</v>
      </c>
    </row>
    <row r="299" spans="2:3" x14ac:dyDescent="0.25">
      <c r="B299">
        <v>289</v>
      </c>
      <c r="C299">
        <v>71.068499859690519</v>
      </c>
    </row>
    <row r="300" spans="2:3" x14ac:dyDescent="0.25">
      <c r="B300">
        <v>290</v>
      </c>
      <c r="C300">
        <v>71.745923067784162</v>
      </c>
    </row>
    <row r="301" spans="2:3" x14ac:dyDescent="0.25">
      <c r="B301">
        <v>291</v>
      </c>
      <c r="C301">
        <v>71.068499859690519</v>
      </c>
    </row>
    <row r="302" spans="2:3" x14ac:dyDescent="0.25">
      <c r="B302">
        <v>292</v>
      </c>
      <c r="C302">
        <v>71.745923067784162</v>
      </c>
    </row>
    <row r="303" spans="2:3" x14ac:dyDescent="0.25">
      <c r="B303">
        <v>293</v>
      </c>
      <c r="C303">
        <v>72.429803457382562</v>
      </c>
    </row>
    <row r="304" spans="2:3" x14ac:dyDescent="0.25">
      <c r="B304">
        <v>294</v>
      </c>
      <c r="C304">
        <v>71.745923067784162</v>
      </c>
    </row>
    <row r="305" spans="2:3" x14ac:dyDescent="0.25">
      <c r="B305">
        <v>295</v>
      </c>
      <c r="C305">
        <v>72.429803457382562</v>
      </c>
    </row>
    <row r="306" spans="2:3" x14ac:dyDescent="0.25">
      <c r="B306">
        <v>296</v>
      </c>
      <c r="C306">
        <v>71.745923067784162</v>
      </c>
    </row>
    <row r="307" spans="2:3" x14ac:dyDescent="0.25">
      <c r="B307">
        <v>297</v>
      </c>
      <c r="C307">
        <v>72.429803457382562</v>
      </c>
    </row>
    <row r="308" spans="2:3" x14ac:dyDescent="0.25">
      <c r="B308">
        <v>298</v>
      </c>
      <c r="C308">
        <v>71.745923067784162</v>
      </c>
    </row>
    <row r="309" spans="2:3" x14ac:dyDescent="0.25">
      <c r="B309">
        <v>299</v>
      </c>
      <c r="C309">
        <v>72.429803457382562</v>
      </c>
    </row>
    <row r="310" spans="2:3" x14ac:dyDescent="0.25">
      <c r="B310">
        <v>300</v>
      </c>
      <c r="C310">
        <v>71.745923067784162</v>
      </c>
    </row>
    <row r="311" spans="2:3" x14ac:dyDescent="0.25">
      <c r="B311">
        <v>301</v>
      </c>
      <c r="C311">
        <v>72.429803457382562</v>
      </c>
    </row>
    <row r="312" spans="2:3" x14ac:dyDescent="0.25">
      <c r="B312">
        <v>302</v>
      </c>
      <c r="C312">
        <v>71.745923067784162</v>
      </c>
    </row>
    <row r="313" spans="2:3" x14ac:dyDescent="0.25">
      <c r="B313">
        <v>303</v>
      </c>
      <c r="C313">
        <v>72.429803457382562</v>
      </c>
    </row>
    <row r="314" spans="2:3" x14ac:dyDescent="0.25">
      <c r="B314">
        <v>304</v>
      </c>
      <c r="C314">
        <v>71.745923067784162</v>
      </c>
    </row>
    <row r="315" spans="2:3" x14ac:dyDescent="0.25">
      <c r="B315">
        <v>305</v>
      </c>
      <c r="C315">
        <v>72.429803457382562</v>
      </c>
    </row>
    <row r="316" spans="2:3" x14ac:dyDescent="0.25">
      <c r="B316">
        <v>306</v>
      </c>
      <c r="C316">
        <v>71.745923067784162</v>
      </c>
    </row>
    <row r="317" spans="2:3" x14ac:dyDescent="0.25">
      <c r="B317">
        <v>307</v>
      </c>
      <c r="C317">
        <v>72.429803457382562</v>
      </c>
    </row>
    <row r="318" spans="2:3" x14ac:dyDescent="0.25">
      <c r="B318">
        <v>308</v>
      </c>
      <c r="C318">
        <v>73.120202578182386</v>
      </c>
    </row>
    <row r="319" spans="2:3" x14ac:dyDescent="0.25">
      <c r="B319">
        <v>309</v>
      </c>
      <c r="C319">
        <v>72.429803457382562</v>
      </c>
    </row>
    <row r="320" spans="2:3" x14ac:dyDescent="0.25">
      <c r="B320">
        <v>310</v>
      </c>
      <c r="C320">
        <v>73.120202578182386</v>
      </c>
    </row>
    <row r="321" spans="2:3" x14ac:dyDescent="0.25">
      <c r="B321">
        <v>311</v>
      </c>
      <c r="C321">
        <v>72.429803457382562</v>
      </c>
    </row>
    <row r="322" spans="2:3" x14ac:dyDescent="0.25">
      <c r="B322">
        <v>312</v>
      </c>
      <c r="C322">
        <v>73.120202578182386</v>
      </c>
    </row>
    <row r="323" spans="2:3" x14ac:dyDescent="0.25">
      <c r="B323">
        <v>313</v>
      </c>
      <c r="C323">
        <v>72.429803457382562</v>
      </c>
    </row>
    <row r="324" spans="2:3" x14ac:dyDescent="0.25">
      <c r="B324">
        <v>314</v>
      </c>
      <c r="C324">
        <v>73.120202578182386</v>
      </c>
    </row>
    <row r="325" spans="2:3" x14ac:dyDescent="0.25">
      <c r="B325">
        <v>315</v>
      </c>
      <c r="C325">
        <v>72.429803457382562</v>
      </c>
    </row>
    <row r="326" spans="2:3" x14ac:dyDescent="0.25">
      <c r="B326">
        <v>316</v>
      </c>
      <c r="C326">
        <v>73.120202578182386</v>
      </c>
    </row>
    <row r="327" spans="2:3" x14ac:dyDescent="0.25">
      <c r="B327">
        <v>317</v>
      </c>
      <c r="C327">
        <v>72.429803457382562</v>
      </c>
    </row>
    <row r="328" spans="2:3" x14ac:dyDescent="0.25">
      <c r="B328">
        <v>318</v>
      </c>
      <c r="C328">
        <v>73.120202578182386</v>
      </c>
    </row>
    <row r="329" spans="2:3" x14ac:dyDescent="0.25">
      <c r="B329">
        <v>319</v>
      </c>
      <c r="C329">
        <v>72.429803457382562</v>
      </c>
    </row>
    <row r="330" spans="2:3" x14ac:dyDescent="0.25">
      <c r="B330">
        <v>320</v>
      </c>
      <c r="C330">
        <v>73.120202578182386</v>
      </c>
    </row>
    <row r="331" spans="2:3" x14ac:dyDescent="0.25">
      <c r="B331">
        <v>321</v>
      </c>
      <c r="C331">
        <v>73.817182566570523</v>
      </c>
    </row>
    <row r="332" spans="2:3" x14ac:dyDescent="0.25">
      <c r="B332">
        <v>322</v>
      </c>
      <c r="C332">
        <v>73.120202578182386</v>
      </c>
    </row>
    <row r="333" spans="2:3" x14ac:dyDescent="0.25">
      <c r="B333">
        <v>323</v>
      </c>
      <c r="C333">
        <v>73.817182566570523</v>
      </c>
    </row>
    <row r="334" spans="2:3" x14ac:dyDescent="0.25">
      <c r="B334">
        <v>324</v>
      </c>
      <c r="C334">
        <v>73.120202578182386</v>
      </c>
    </row>
    <row r="335" spans="2:3" x14ac:dyDescent="0.25">
      <c r="B335">
        <v>325</v>
      </c>
      <c r="C335">
        <v>73.817182566570523</v>
      </c>
    </row>
    <row r="336" spans="2:3" x14ac:dyDescent="0.25">
      <c r="B336">
        <v>326</v>
      </c>
      <c r="C336">
        <v>73.120202578182386</v>
      </c>
    </row>
    <row r="337" spans="2:3" x14ac:dyDescent="0.25">
      <c r="B337">
        <v>327</v>
      </c>
      <c r="C337">
        <v>73.817182566570523</v>
      </c>
    </row>
    <row r="338" spans="2:3" x14ac:dyDescent="0.25">
      <c r="B338">
        <v>328</v>
      </c>
      <c r="C338">
        <v>73.120202578182386</v>
      </c>
    </row>
    <row r="339" spans="2:3" x14ac:dyDescent="0.25">
      <c r="B339">
        <v>329</v>
      </c>
      <c r="C339">
        <v>73.817182566570523</v>
      </c>
    </row>
    <row r="340" spans="2:3" x14ac:dyDescent="0.25">
      <c r="B340">
        <v>330</v>
      </c>
      <c r="C340">
        <v>73.120202578182386</v>
      </c>
    </row>
    <row r="341" spans="2:3" x14ac:dyDescent="0.25">
      <c r="B341">
        <v>331</v>
      </c>
      <c r="C341">
        <v>73.817182566570523</v>
      </c>
    </row>
    <row r="342" spans="2:3" x14ac:dyDescent="0.25">
      <c r="B342">
        <v>332</v>
      </c>
      <c r="C342">
        <v>73.120202578182386</v>
      </c>
    </row>
    <row r="343" spans="2:3" x14ac:dyDescent="0.25">
      <c r="B343">
        <v>333</v>
      </c>
      <c r="C343">
        <v>73.817182566570523</v>
      </c>
    </row>
    <row r="344" spans="2:3" x14ac:dyDescent="0.25">
      <c r="B344">
        <v>334</v>
      </c>
      <c r="C344">
        <v>74.520806151216419</v>
      </c>
    </row>
    <row r="345" spans="2:3" x14ac:dyDescent="0.25">
      <c r="B345">
        <v>335</v>
      </c>
      <c r="C345">
        <v>73.817182566570523</v>
      </c>
    </row>
    <row r="346" spans="2:3" x14ac:dyDescent="0.25">
      <c r="B346">
        <v>336</v>
      </c>
      <c r="C346">
        <v>74.520806151216419</v>
      </c>
    </row>
    <row r="347" spans="2:3" x14ac:dyDescent="0.25">
      <c r="B347">
        <v>337</v>
      </c>
      <c r="C347">
        <v>73.817182566570523</v>
      </c>
    </row>
    <row r="348" spans="2:3" x14ac:dyDescent="0.25">
      <c r="B348">
        <v>338</v>
      </c>
      <c r="C348">
        <v>74.520806151216419</v>
      </c>
    </row>
    <row r="349" spans="2:3" x14ac:dyDescent="0.25">
      <c r="B349">
        <v>339</v>
      </c>
      <c r="C349">
        <v>73.817182566570523</v>
      </c>
    </row>
    <row r="350" spans="2:3" x14ac:dyDescent="0.25">
      <c r="B350">
        <v>340</v>
      </c>
      <c r="C350">
        <v>74.520806151216419</v>
      </c>
    </row>
    <row r="351" spans="2:3" x14ac:dyDescent="0.25">
      <c r="B351">
        <v>341</v>
      </c>
      <c r="C351">
        <v>73.817182566570523</v>
      </c>
    </row>
    <row r="352" spans="2:3" x14ac:dyDescent="0.25">
      <c r="B352">
        <v>342</v>
      </c>
      <c r="C352">
        <v>74.520806151216419</v>
      </c>
    </row>
    <row r="353" spans="2:3" x14ac:dyDescent="0.25">
      <c r="B353">
        <v>343</v>
      </c>
      <c r="C353">
        <v>73.817182566570523</v>
      </c>
    </row>
    <row r="354" spans="2:3" x14ac:dyDescent="0.25">
      <c r="B354">
        <v>344</v>
      </c>
      <c r="C354">
        <v>74.520806151216419</v>
      </c>
    </row>
    <row r="355" spans="2:3" x14ac:dyDescent="0.25">
      <c r="B355">
        <v>345</v>
      </c>
      <c r="C355">
        <v>73.817182566570523</v>
      </c>
    </row>
    <row r="356" spans="2:3" x14ac:dyDescent="0.25">
      <c r="B356">
        <v>346</v>
      </c>
      <c r="C356">
        <v>74.520806151216419</v>
      </c>
    </row>
    <row r="357" spans="2:3" x14ac:dyDescent="0.25">
      <c r="B357">
        <v>347</v>
      </c>
      <c r="C357">
        <v>75.231136658717602</v>
      </c>
    </row>
    <row r="358" spans="2:3" x14ac:dyDescent="0.25">
      <c r="B358">
        <v>348</v>
      </c>
      <c r="C358">
        <v>74.520806151216419</v>
      </c>
    </row>
    <row r="359" spans="2:3" x14ac:dyDescent="0.25">
      <c r="B359">
        <v>349</v>
      </c>
      <c r="C359">
        <v>75.231136658717602</v>
      </c>
    </row>
    <row r="360" spans="2:3" x14ac:dyDescent="0.25">
      <c r="B360">
        <v>350</v>
      </c>
      <c r="C360">
        <v>74.520806151216419</v>
      </c>
    </row>
    <row r="361" spans="2:3" x14ac:dyDescent="0.25">
      <c r="B361">
        <v>351</v>
      </c>
      <c r="C361">
        <v>75.231136658717602</v>
      </c>
    </row>
    <row r="362" spans="2:3" x14ac:dyDescent="0.25">
      <c r="B362">
        <v>352</v>
      </c>
      <c r="C362">
        <v>74.520806151216419</v>
      </c>
    </row>
    <row r="363" spans="2:3" x14ac:dyDescent="0.25">
      <c r="B363">
        <v>353</v>
      </c>
      <c r="C363">
        <v>75.231136658717602</v>
      </c>
    </row>
    <row r="364" spans="2:3" x14ac:dyDescent="0.25">
      <c r="B364">
        <v>354</v>
      </c>
      <c r="C364">
        <v>74.520806151216419</v>
      </c>
    </row>
    <row r="365" spans="2:3" x14ac:dyDescent="0.25">
      <c r="B365">
        <v>355</v>
      </c>
      <c r="C365">
        <v>75.231136658717602</v>
      </c>
    </row>
    <row r="366" spans="2:3" x14ac:dyDescent="0.25">
      <c r="B366">
        <v>356</v>
      </c>
      <c r="C366">
        <v>74.520806151216419</v>
      </c>
    </row>
    <row r="367" spans="2:3" x14ac:dyDescent="0.25">
      <c r="B367">
        <v>357</v>
      </c>
      <c r="C367">
        <v>75.231136658717602</v>
      </c>
    </row>
    <row r="368" spans="2:3" x14ac:dyDescent="0.25">
      <c r="B368">
        <v>358</v>
      </c>
      <c r="C368">
        <v>74.520806151216419</v>
      </c>
    </row>
    <row r="369" spans="2:3" x14ac:dyDescent="0.25">
      <c r="B369">
        <v>359</v>
      </c>
      <c r="C369">
        <v>75.231136658717602</v>
      </c>
    </row>
    <row r="370" spans="2:3" x14ac:dyDescent="0.25">
      <c r="B370">
        <v>360</v>
      </c>
      <c r="C370">
        <v>75.948238019299239</v>
      </c>
    </row>
    <row r="371" spans="2:3" x14ac:dyDescent="0.25">
      <c r="B371">
        <v>361</v>
      </c>
      <c r="C371">
        <v>75.231136658717602</v>
      </c>
    </row>
    <row r="372" spans="2:3" x14ac:dyDescent="0.25">
      <c r="B372">
        <v>362</v>
      </c>
      <c r="C372">
        <v>75.948238019299239</v>
      </c>
    </row>
    <row r="373" spans="2:3" x14ac:dyDescent="0.25">
      <c r="B373">
        <v>363</v>
      </c>
      <c r="C373">
        <v>75.231136658717602</v>
      </c>
    </row>
    <row r="374" spans="2:3" x14ac:dyDescent="0.25">
      <c r="B374">
        <v>364</v>
      </c>
      <c r="C374">
        <v>75.948238019299239</v>
      </c>
    </row>
    <row r="375" spans="2:3" x14ac:dyDescent="0.25">
      <c r="B375">
        <v>365</v>
      </c>
      <c r="C375">
        <v>75.231136658717602</v>
      </c>
    </row>
    <row r="376" spans="2:3" x14ac:dyDescent="0.25">
      <c r="B376">
        <v>366</v>
      </c>
      <c r="C376">
        <v>75.948238019299239</v>
      </c>
    </row>
    <row r="377" spans="2:3" x14ac:dyDescent="0.25">
      <c r="B377">
        <v>367</v>
      </c>
      <c r="C377">
        <v>75.231136658717602</v>
      </c>
    </row>
    <row r="378" spans="2:3" x14ac:dyDescent="0.25">
      <c r="B378">
        <v>368</v>
      </c>
      <c r="C378">
        <v>75.948238019299239</v>
      </c>
    </row>
    <row r="379" spans="2:3" x14ac:dyDescent="0.25">
      <c r="B379">
        <v>369</v>
      </c>
      <c r="C379">
        <v>75.231136658717602</v>
      </c>
    </row>
    <row r="380" spans="2:3" x14ac:dyDescent="0.25">
      <c r="B380">
        <v>370</v>
      </c>
      <c r="C380">
        <v>75.948238019299239</v>
      </c>
    </row>
    <row r="381" spans="2:3" x14ac:dyDescent="0.25">
      <c r="B381">
        <v>371</v>
      </c>
      <c r="C381">
        <v>76.672174772567843</v>
      </c>
    </row>
    <row r="382" spans="2:3" x14ac:dyDescent="0.25">
      <c r="B382">
        <v>372</v>
      </c>
      <c r="C382">
        <v>75.948238019299239</v>
      </c>
    </row>
    <row r="383" spans="2:3" x14ac:dyDescent="0.25">
      <c r="B383">
        <v>373</v>
      </c>
      <c r="C383">
        <v>76.672174772567843</v>
      </c>
    </row>
    <row r="384" spans="2:3" x14ac:dyDescent="0.25">
      <c r="B384">
        <v>374</v>
      </c>
      <c r="C384">
        <v>75.948238019299239</v>
      </c>
    </row>
    <row r="385" spans="2:3" x14ac:dyDescent="0.25">
      <c r="B385">
        <v>375</v>
      </c>
      <c r="C385">
        <v>76.672174772567843</v>
      </c>
    </row>
    <row r="386" spans="2:3" x14ac:dyDescent="0.25">
      <c r="B386">
        <v>376</v>
      </c>
      <c r="C386">
        <v>75.948238019299239</v>
      </c>
    </row>
    <row r="387" spans="2:3" x14ac:dyDescent="0.25">
      <c r="B387">
        <v>377</v>
      </c>
      <c r="C387">
        <v>76.672174772567843</v>
      </c>
    </row>
    <row r="388" spans="2:3" x14ac:dyDescent="0.25">
      <c r="B388">
        <v>378</v>
      </c>
      <c r="C388">
        <v>75.948238019299239</v>
      </c>
    </row>
    <row r="389" spans="2:3" x14ac:dyDescent="0.25">
      <c r="B389">
        <v>379</v>
      </c>
      <c r="C389">
        <v>76.672174772567843</v>
      </c>
    </row>
    <row r="390" spans="2:3" x14ac:dyDescent="0.25">
      <c r="B390">
        <v>380</v>
      </c>
      <c r="C390">
        <v>75.948238019299239</v>
      </c>
    </row>
    <row r="391" spans="2:3" x14ac:dyDescent="0.25">
      <c r="B391">
        <v>381</v>
      </c>
      <c r="C391">
        <v>76.672174772567843</v>
      </c>
    </row>
    <row r="392" spans="2:3" x14ac:dyDescent="0.25">
      <c r="B392">
        <v>382</v>
      </c>
      <c r="C392">
        <v>77.403012073319829</v>
      </c>
    </row>
    <row r="393" spans="2:3" x14ac:dyDescent="0.25">
      <c r="B393">
        <v>383</v>
      </c>
      <c r="C393">
        <v>76.672174772567843</v>
      </c>
    </row>
    <row r="394" spans="2:3" x14ac:dyDescent="0.25">
      <c r="B394">
        <v>384</v>
      </c>
      <c r="C394">
        <v>77.403012073319829</v>
      </c>
    </row>
    <row r="395" spans="2:3" x14ac:dyDescent="0.25">
      <c r="B395">
        <v>385</v>
      </c>
      <c r="C395">
        <v>76.672174772567843</v>
      </c>
    </row>
    <row r="396" spans="2:3" x14ac:dyDescent="0.25">
      <c r="B396">
        <v>386</v>
      </c>
      <c r="C396">
        <v>77.403012073319829</v>
      </c>
    </row>
    <row r="397" spans="2:3" x14ac:dyDescent="0.25">
      <c r="B397">
        <v>387</v>
      </c>
      <c r="C397">
        <v>76.672174772567843</v>
      </c>
    </row>
    <row r="398" spans="2:3" x14ac:dyDescent="0.25">
      <c r="B398">
        <v>388</v>
      </c>
      <c r="C398">
        <v>77.403012073319829</v>
      </c>
    </row>
    <row r="399" spans="2:3" x14ac:dyDescent="0.25">
      <c r="B399">
        <v>389</v>
      </c>
      <c r="C399">
        <v>76.672174772567843</v>
      </c>
    </row>
    <row r="400" spans="2:3" x14ac:dyDescent="0.25">
      <c r="B400">
        <v>390</v>
      </c>
      <c r="C400">
        <v>77.403012073319829</v>
      </c>
    </row>
    <row r="401" spans="2:3" x14ac:dyDescent="0.25">
      <c r="B401">
        <v>391</v>
      </c>
      <c r="C401">
        <v>78.140815697405614</v>
      </c>
    </row>
    <row r="402" spans="2:3" x14ac:dyDescent="0.25">
      <c r="B402">
        <v>392</v>
      </c>
      <c r="C402">
        <v>77.403012073319829</v>
      </c>
    </row>
    <row r="403" spans="2:3" x14ac:dyDescent="0.25">
      <c r="B403">
        <v>393</v>
      </c>
      <c r="C403">
        <v>78.140815697405614</v>
      </c>
    </row>
    <row r="404" spans="2:3" x14ac:dyDescent="0.25">
      <c r="B404">
        <v>394</v>
      </c>
      <c r="C404">
        <v>77.403012073319829</v>
      </c>
    </row>
    <row r="405" spans="2:3" x14ac:dyDescent="0.25">
      <c r="B405">
        <v>395</v>
      </c>
      <c r="C405">
        <v>78.140815697405614</v>
      </c>
    </row>
    <row r="406" spans="2:3" x14ac:dyDescent="0.25">
      <c r="B406">
        <v>396</v>
      </c>
      <c r="C406">
        <v>77.403012073319829</v>
      </c>
    </row>
    <row r="407" spans="2:3" x14ac:dyDescent="0.25">
      <c r="B407">
        <v>397</v>
      </c>
      <c r="C407">
        <v>78.140815697405614</v>
      </c>
    </row>
    <row r="408" spans="2:3" x14ac:dyDescent="0.25">
      <c r="B408">
        <v>398</v>
      </c>
      <c r="C408">
        <v>77.403012073319829</v>
      </c>
    </row>
    <row r="409" spans="2:3" x14ac:dyDescent="0.25">
      <c r="B409">
        <v>399</v>
      </c>
      <c r="C409">
        <v>78.140815697405614</v>
      </c>
    </row>
    <row r="410" spans="2:3" x14ac:dyDescent="0.25">
      <c r="B410">
        <v>400</v>
      </c>
      <c r="C410">
        <v>78.885652047649373</v>
      </c>
    </row>
    <row r="411" spans="2:3" x14ac:dyDescent="0.25">
      <c r="B411">
        <v>401</v>
      </c>
      <c r="C411">
        <v>78.140815697405614</v>
      </c>
    </row>
    <row r="412" spans="2:3" x14ac:dyDescent="0.25">
      <c r="B412">
        <v>402</v>
      </c>
      <c r="C412">
        <v>78.885652047649373</v>
      </c>
    </row>
    <row r="413" spans="2:3" x14ac:dyDescent="0.25">
      <c r="B413">
        <v>403</v>
      </c>
      <c r="C413">
        <v>78.140815697405614</v>
      </c>
    </row>
    <row r="414" spans="2:3" x14ac:dyDescent="0.25">
      <c r="B414">
        <v>404</v>
      </c>
      <c r="C414">
        <v>78.885652047649373</v>
      </c>
    </row>
    <row r="415" spans="2:3" x14ac:dyDescent="0.25">
      <c r="B415">
        <v>405</v>
      </c>
      <c r="C415">
        <v>78.140815697405614</v>
      </c>
    </row>
    <row r="416" spans="2:3" x14ac:dyDescent="0.25">
      <c r="B416">
        <v>406</v>
      </c>
      <c r="C416">
        <v>78.885652047649373</v>
      </c>
    </row>
    <row r="417" spans="2:3" x14ac:dyDescent="0.25">
      <c r="B417">
        <v>407</v>
      </c>
      <c r="C417">
        <v>78.140815697405614</v>
      </c>
    </row>
    <row r="418" spans="2:3" x14ac:dyDescent="0.25">
      <c r="B418">
        <v>408</v>
      </c>
      <c r="C418">
        <v>78.885652047649373</v>
      </c>
    </row>
    <row r="419" spans="2:3" x14ac:dyDescent="0.25">
      <c r="B419">
        <v>409</v>
      </c>
      <c r="C419">
        <v>78.140815697405614</v>
      </c>
    </row>
    <row r="420" spans="2:3" x14ac:dyDescent="0.25">
      <c r="B420">
        <v>410</v>
      </c>
      <c r="C420">
        <v>78.885652047649373</v>
      </c>
    </row>
    <row r="421" spans="2:3" x14ac:dyDescent="0.25">
      <c r="B421">
        <v>411</v>
      </c>
      <c r="C421">
        <v>79.637588159825398</v>
      </c>
    </row>
    <row r="422" spans="2:3" x14ac:dyDescent="0.25">
      <c r="B422">
        <v>412</v>
      </c>
      <c r="C422">
        <v>78.885652047649373</v>
      </c>
    </row>
    <row r="423" spans="2:3" x14ac:dyDescent="0.25">
      <c r="B423">
        <v>413</v>
      </c>
      <c r="C423">
        <v>79.637588159825398</v>
      </c>
    </row>
    <row r="424" spans="2:3" x14ac:dyDescent="0.25">
      <c r="B424">
        <v>414</v>
      </c>
      <c r="C424">
        <v>78.885652047649373</v>
      </c>
    </row>
    <row r="425" spans="2:3" x14ac:dyDescent="0.25">
      <c r="B425">
        <v>415</v>
      </c>
      <c r="C425">
        <v>79.637588159825398</v>
      </c>
    </row>
    <row r="426" spans="2:3" x14ac:dyDescent="0.25">
      <c r="B426">
        <v>416</v>
      </c>
      <c r="C426">
        <v>78.885652047649373</v>
      </c>
    </row>
    <row r="427" spans="2:3" x14ac:dyDescent="0.25">
      <c r="B427">
        <v>417</v>
      </c>
      <c r="C427">
        <v>79.637588159825398</v>
      </c>
    </row>
    <row r="428" spans="2:3" x14ac:dyDescent="0.25">
      <c r="B428">
        <v>418</v>
      </c>
      <c r="C428">
        <v>80.396691708691336</v>
      </c>
    </row>
    <row r="429" spans="2:3" x14ac:dyDescent="0.25">
      <c r="B429">
        <v>419</v>
      </c>
      <c r="C429">
        <v>79.637588159825398</v>
      </c>
    </row>
    <row r="430" spans="2:3" x14ac:dyDescent="0.25">
      <c r="B430">
        <v>420</v>
      </c>
      <c r="C430">
        <v>80.396691708691336</v>
      </c>
    </row>
    <row r="431" spans="2:3" x14ac:dyDescent="0.25">
      <c r="B431">
        <v>421</v>
      </c>
      <c r="C431">
        <v>79.637588159825398</v>
      </c>
    </row>
    <row r="432" spans="2:3" x14ac:dyDescent="0.25">
      <c r="B432">
        <v>422</v>
      </c>
      <c r="C432">
        <v>80.396691708691336</v>
      </c>
    </row>
    <row r="433" spans="2:3" x14ac:dyDescent="0.25">
      <c r="B433">
        <v>423</v>
      </c>
      <c r="C433">
        <v>79.637588159825398</v>
      </c>
    </row>
    <row r="434" spans="2:3" x14ac:dyDescent="0.25">
      <c r="B434">
        <v>424</v>
      </c>
      <c r="C434">
        <v>80.396691708691336</v>
      </c>
    </row>
    <row r="435" spans="2:3" x14ac:dyDescent="0.25">
      <c r="B435">
        <v>425</v>
      </c>
      <c r="C435">
        <v>79.637588159825398</v>
      </c>
    </row>
    <row r="436" spans="2:3" x14ac:dyDescent="0.25">
      <c r="B436">
        <v>426</v>
      </c>
      <c r="C436">
        <v>80.396691708691336</v>
      </c>
    </row>
    <row r="437" spans="2:3" x14ac:dyDescent="0.25">
      <c r="B437">
        <v>427</v>
      </c>
      <c r="C437">
        <v>81.163031014078996</v>
      </c>
    </row>
    <row r="438" spans="2:3" x14ac:dyDescent="0.25">
      <c r="B438">
        <v>428</v>
      </c>
      <c r="C438">
        <v>80.396691708691336</v>
      </c>
    </row>
    <row r="439" spans="2:3" x14ac:dyDescent="0.25">
      <c r="B439">
        <v>429</v>
      </c>
      <c r="C439">
        <v>81.163031014078996</v>
      </c>
    </row>
    <row r="440" spans="2:3" x14ac:dyDescent="0.25">
      <c r="B440">
        <v>430</v>
      </c>
      <c r="C440">
        <v>80.396691708691336</v>
      </c>
    </row>
    <row r="441" spans="2:3" x14ac:dyDescent="0.25">
      <c r="B441">
        <v>431</v>
      </c>
      <c r="C441">
        <v>81.163031014078996</v>
      </c>
    </row>
    <row r="442" spans="2:3" x14ac:dyDescent="0.25">
      <c r="B442">
        <v>432</v>
      </c>
      <c r="C442">
        <v>80.396691708691336</v>
      </c>
    </row>
    <row r="443" spans="2:3" x14ac:dyDescent="0.25">
      <c r="B443">
        <v>433</v>
      </c>
      <c r="C443">
        <v>81.163031014078996</v>
      </c>
    </row>
    <row r="444" spans="2:3" x14ac:dyDescent="0.25">
      <c r="B444">
        <v>434</v>
      </c>
      <c r="C444">
        <v>81.93667504704311</v>
      </c>
    </row>
    <row r="445" spans="2:3" x14ac:dyDescent="0.25">
      <c r="B445">
        <v>435</v>
      </c>
      <c r="C445">
        <v>81.163031014078996</v>
      </c>
    </row>
    <row r="446" spans="2:3" x14ac:dyDescent="0.25">
      <c r="B446">
        <v>436</v>
      </c>
      <c r="C446">
        <v>81.93667504704311</v>
      </c>
    </row>
    <row r="447" spans="2:3" x14ac:dyDescent="0.25">
      <c r="B447">
        <v>437</v>
      </c>
      <c r="C447">
        <v>81.163031014078996</v>
      </c>
    </row>
    <row r="448" spans="2:3" x14ac:dyDescent="0.25">
      <c r="B448">
        <v>438</v>
      </c>
      <c r="C448">
        <v>81.93667504704311</v>
      </c>
    </row>
    <row r="449" spans="2:3" x14ac:dyDescent="0.25">
      <c r="B449">
        <v>439</v>
      </c>
      <c r="C449">
        <v>81.163031014078996</v>
      </c>
    </row>
    <row r="450" spans="2:3" x14ac:dyDescent="0.25">
      <c r="B450">
        <v>440</v>
      </c>
      <c r="C450">
        <v>81.93667504704311</v>
      </c>
    </row>
    <row r="451" spans="2:3" x14ac:dyDescent="0.25">
      <c r="B451">
        <v>441</v>
      </c>
      <c r="C451">
        <v>82.717693436068913</v>
      </c>
    </row>
    <row r="452" spans="2:3" x14ac:dyDescent="0.25">
      <c r="B452">
        <v>442</v>
      </c>
      <c r="C452">
        <v>81.93667504704311</v>
      </c>
    </row>
    <row r="453" spans="2:3" x14ac:dyDescent="0.25">
      <c r="B453">
        <v>443</v>
      </c>
      <c r="C453">
        <v>82.717693436068913</v>
      </c>
    </row>
    <row r="454" spans="2:3" x14ac:dyDescent="0.25">
      <c r="B454">
        <v>444</v>
      </c>
      <c r="C454">
        <v>81.93667504704311</v>
      </c>
    </row>
    <row r="455" spans="2:3" x14ac:dyDescent="0.25">
      <c r="B455">
        <v>445</v>
      </c>
      <c r="C455">
        <v>82.717693436068913</v>
      </c>
    </row>
    <row r="456" spans="2:3" x14ac:dyDescent="0.25">
      <c r="B456">
        <v>446</v>
      </c>
      <c r="C456">
        <v>81.93667504704311</v>
      </c>
    </row>
    <row r="457" spans="2:3" x14ac:dyDescent="0.25">
      <c r="B457">
        <v>447</v>
      </c>
      <c r="C457">
        <v>82.717693436068913</v>
      </c>
    </row>
    <row r="458" spans="2:3" x14ac:dyDescent="0.25">
      <c r="B458">
        <v>448</v>
      </c>
      <c r="C458">
        <v>83.50615647333855</v>
      </c>
    </row>
    <row r="459" spans="2:3" x14ac:dyDescent="0.25">
      <c r="B459">
        <v>449</v>
      </c>
      <c r="C459">
        <v>82.717693436068913</v>
      </c>
    </row>
    <row r="460" spans="2:3" x14ac:dyDescent="0.25">
      <c r="B460">
        <v>450</v>
      </c>
      <c r="C460">
        <v>83.50615647333855</v>
      </c>
    </row>
    <row r="461" spans="2:3" x14ac:dyDescent="0.25">
      <c r="B461">
        <v>451</v>
      </c>
      <c r="C461">
        <v>82.717693436068913</v>
      </c>
    </row>
    <row r="462" spans="2:3" x14ac:dyDescent="0.25">
      <c r="B462">
        <v>452</v>
      </c>
      <c r="C462">
        <v>83.50615647333855</v>
      </c>
    </row>
    <row r="463" spans="2:3" x14ac:dyDescent="0.25">
      <c r="B463">
        <v>453</v>
      </c>
      <c r="C463">
        <v>84.302135121057603</v>
      </c>
    </row>
    <row r="464" spans="2:3" x14ac:dyDescent="0.25">
      <c r="B464">
        <v>454</v>
      </c>
      <c r="C464">
        <v>83.50615647333855</v>
      </c>
    </row>
    <row r="465" spans="2:3" x14ac:dyDescent="0.25">
      <c r="B465">
        <v>455</v>
      </c>
      <c r="C465">
        <v>84.302135121057603</v>
      </c>
    </row>
    <row r="466" spans="2:3" x14ac:dyDescent="0.25">
      <c r="B466">
        <v>456</v>
      </c>
      <c r="C466">
        <v>83.50615647333855</v>
      </c>
    </row>
    <row r="467" spans="2:3" x14ac:dyDescent="0.25">
      <c r="B467">
        <v>457</v>
      </c>
      <c r="C467">
        <v>84.302135121057603</v>
      </c>
    </row>
    <row r="468" spans="2:3" x14ac:dyDescent="0.25">
      <c r="B468">
        <v>458</v>
      </c>
      <c r="C468">
        <v>83.50615647333855</v>
      </c>
    </row>
    <row r="469" spans="2:3" x14ac:dyDescent="0.25">
      <c r="B469">
        <v>459</v>
      </c>
      <c r="C469">
        <v>84.302135121057603</v>
      </c>
    </row>
    <row r="470" spans="2:3" x14ac:dyDescent="0.25">
      <c r="B470">
        <v>460</v>
      </c>
      <c r="C470">
        <v>85.105701017841682</v>
      </c>
    </row>
    <row r="471" spans="2:3" x14ac:dyDescent="0.25">
      <c r="B471">
        <v>461</v>
      </c>
      <c r="C471">
        <v>84.302135121057603</v>
      </c>
    </row>
    <row r="472" spans="2:3" x14ac:dyDescent="0.25">
      <c r="B472">
        <v>462</v>
      </c>
      <c r="C472">
        <v>85.105701017841682</v>
      </c>
    </row>
    <row r="473" spans="2:3" x14ac:dyDescent="0.25">
      <c r="B473">
        <v>463</v>
      </c>
      <c r="C473">
        <v>84.302135121057603</v>
      </c>
    </row>
    <row r="474" spans="2:3" x14ac:dyDescent="0.25">
      <c r="B474">
        <v>464</v>
      </c>
      <c r="C474">
        <v>85.105701017841682</v>
      </c>
    </row>
    <row r="475" spans="2:3" x14ac:dyDescent="0.25">
      <c r="B475">
        <v>465</v>
      </c>
      <c r="C475">
        <v>85.916926485163884</v>
      </c>
    </row>
    <row r="476" spans="2:3" x14ac:dyDescent="0.25">
      <c r="B476">
        <v>466</v>
      </c>
      <c r="C476">
        <v>85.105701017841682</v>
      </c>
    </row>
    <row r="477" spans="2:3" x14ac:dyDescent="0.25">
      <c r="B477">
        <v>467</v>
      </c>
      <c r="C477">
        <v>85.916926485163884</v>
      </c>
    </row>
    <row r="478" spans="2:3" x14ac:dyDescent="0.25">
      <c r="B478">
        <v>468</v>
      </c>
      <c r="C478">
        <v>85.105701017841682</v>
      </c>
    </row>
    <row r="479" spans="2:3" x14ac:dyDescent="0.25">
      <c r="B479">
        <v>469</v>
      </c>
      <c r="C479">
        <v>85.916926485163884</v>
      </c>
    </row>
    <row r="480" spans="2:3" x14ac:dyDescent="0.25">
      <c r="B480">
        <v>470</v>
      </c>
      <c r="C480">
        <v>86.735884533863853</v>
      </c>
    </row>
    <row r="481" spans="2:3" x14ac:dyDescent="0.25">
      <c r="B481">
        <v>471</v>
      </c>
      <c r="C481">
        <v>85.916926485163884</v>
      </c>
    </row>
    <row r="482" spans="2:3" x14ac:dyDescent="0.25">
      <c r="B482">
        <v>472</v>
      </c>
      <c r="C482">
        <v>86.735884533863853</v>
      </c>
    </row>
    <row r="483" spans="2:3" x14ac:dyDescent="0.25">
      <c r="B483">
        <v>473</v>
      </c>
      <c r="C483">
        <v>87.56264887071876</v>
      </c>
    </row>
    <row r="484" spans="2:3" x14ac:dyDescent="0.25">
      <c r="B484">
        <v>474</v>
      </c>
      <c r="C484">
        <v>86.735884533863853</v>
      </c>
    </row>
    <row r="485" spans="2:3" x14ac:dyDescent="0.25">
      <c r="B485">
        <v>475</v>
      </c>
      <c r="C485">
        <v>87.56264887071876</v>
      </c>
    </row>
    <row r="486" spans="2:3" x14ac:dyDescent="0.25">
      <c r="B486">
        <v>476</v>
      </c>
      <c r="C486">
        <v>86.735884533863853</v>
      </c>
    </row>
    <row r="487" spans="2:3" x14ac:dyDescent="0.25">
      <c r="B487">
        <v>477</v>
      </c>
      <c r="C487">
        <v>87.56264887071876</v>
      </c>
    </row>
    <row r="488" spans="2:3" x14ac:dyDescent="0.25">
      <c r="B488">
        <v>478</v>
      </c>
      <c r="C488">
        <v>88.397293905077007</v>
      </c>
    </row>
    <row r="489" spans="2:3" x14ac:dyDescent="0.25">
      <c r="B489">
        <v>479</v>
      </c>
      <c r="C489">
        <v>87.56264887071876</v>
      </c>
    </row>
    <row r="490" spans="2:3" x14ac:dyDescent="0.25">
      <c r="B490">
        <v>480</v>
      </c>
      <c r="C490">
        <v>88.397293905077007</v>
      </c>
    </row>
    <row r="491" spans="2:3" x14ac:dyDescent="0.25">
      <c r="B491">
        <v>481</v>
      </c>
      <c r="C491">
        <v>89.239894755555042</v>
      </c>
    </row>
    <row r="492" spans="2:3" x14ac:dyDescent="0.25">
      <c r="B492">
        <v>482</v>
      </c>
      <c r="C492">
        <v>88.397293905077007</v>
      </c>
    </row>
    <row r="493" spans="2:3" x14ac:dyDescent="0.25">
      <c r="B493">
        <v>483</v>
      </c>
      <c r="C493">
        <v>89.239894755555042</v>
      </c>
    </row>
    <row r="494" spans="2:3" x14ac:dyDescent="0.25">
      <c r="B494">
        <v>484</v>
      </c>
      <c r="C494">
        <v>90.090527256798197</v>
      </c>
    </row>
    <row r="495" spans="2:3" x14ac:dyDescent="0.25">
      <c r="B495">
        <v>485</v>
      </c>
      <c r="C495">
        <v>89.239894755555042</v>
      </c>
    </row>
    <row r="496" spans="2:3" x14ac:dyDescent="0.25">
      <c r="B496">
        <v>486</v>
      </c>
      <c r="C496">
        <v>90.090527256798197</v>
      </c>
    </row>
    <row r="497" spans="2:3" x14ac:dyDescent="0.25">
      <c r="B497">
        <v>487</v>
      </c>
      <c r="C497">
        <v>90.949267966305754</v>
      </c>
    </row>
    <row r="498" spans="2:3" x14ac:dyDescent="0.25">
      <c r="B498">
        <v>488</v>
      </c>
      <c r="C498">
        <v>90.090527256798197</v>
      </c>
    </row>
    <row r="499" spans="2:3" x14ac:dyDescent="0.25">
      <c r="B499">
        <v>489</v>
      </c>
      <c r="C499">
        <v>90.949267966305754</v>
      </c>
    </row>
    <row r="500" spans="2:3" x14ac:dyDescent="0.25">
      <c r="B500">
        <v>490</v>
      </c>
      <c r="C500">
        <v>91.816194171321214</v>
      </c>
    </row>
    <row r="501" spans="2:3" x14ac:dyDescent="0.25">
      <c r="B501">
        <v>491</v>
      </c>
      <c r="C501">
        <v>90.949267966305754</v>
      </c>
    </row>
    <row r="502" spans="2:3" x14ac:dyDescent="0.25">
      <c r="B502">
        <v>492</v>
      </c>
      <c r="C502">
        <v>91.816194171321214</v>
      </c>
    </row>
    <row r="503" spans="2:3" x14ac:dyDescent="0.25">
      <c r="B503">
        <v>493</v>
      </c>
      <c r="C503">
        <v>92.691383895788221</v>
      </c>
    </row>
    <row r="504" spans="2:3" x14ac:dyDescent="0.25">
      <c r="B504">
        <v>494</v>
      </c>
      <c r="C504">
        <v>93.574915907372727</v>
      </c>
    </row>
    <row r="505" spans="2:3" x14ac:dyDescent="0.25">
      <c r="B505">
        <v>495</v>
      </c>
      <c r="C505">
        <v>94.46686972455214</v>
      </c>
    </row>
    <row r="506" spans="2:3" x14ac:dyDescent="0.25">
      <c r="B506">
        <v>496</v>
      </c>
      <c r="C506">
        <v>95.367325623772089</v>
      </c>
    </row>
    <row r="507" spans="2:3" x14ac:dyDescent="0.25">
      <c r="B507">
        <v>497</v>
      </c>
      <c r="C507">
        <v>96.276364646671325</v>
      </c>
    </row>
    <row r="508" spans="2:3" x14ac:dyDescent="0.25">
      <c r="B508">
        <v>498</v>
      </c>
      <c r="C508">
        <v>97.194068607375499</v>
      </c>
    </row>
    <row r="509" spans="2:3" x14ac:dyDescent="0.25">
      <c r="B509">
        <v>499</v>
      </c>
      <c r="C509">
        <v>98.120520099860514</v>
      </c>
    </row>
    <row r="510" spans="2:3" x14ac:dyDescent="0.25">
      <c r="B510">
        <v>500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7"/>
  <sheetViews>
    <sheetView workbookViewId="0">
      <selection activeCell="E4" sqref="E4"/>
    </sheetView>
  </sheetViews>
  <sheetFormatPr defaultRowHeight="15" x14ac:dyDescent="0.25"/>
  <sheetData>
    <row r="1" spans="1:8" x14ac:dyDescent="0.25">
      <c r="A1" t="s">
        <v>28</v>
      </c>
    </row>
    <row r="2" spans="1:8" x14ac:dyDescent="0.25">
      <c r="A2" t="s">
        <v>29</v>
      </c>
      <c r="E2" t="s">
        <v>10</v>
      </c>
    </row>
    <row r="3" spans="1:8" x14ac:dyDescent="0.25">
      <c r="D3" s="1" t="s">
        <v>9</v>
      </c>
      <c r="E3" s="1">
        <v>500</v>
      </c>
      <c r="H3" t="s">
        <v>31</v>
      </c>
    </row>
    <row r="4" spans="1:8" x14ac:dyDescent="0.25">
      <c r="D4" s="1">
        <f>_S0</f>
        <v>100</v>
      </c>
      <c r="E4" s="1">
        <f>get_tree_ame_call_price(_S0,_r,_q,_T,_sigma,D4,E3)</f>
        <v>8.6046777500073137</v>
      </c>
      <c r="H4" t="s">
        <v>33</v>
      </c>
    </row>
    <row r="6" spans="1:8" x14ac:dyDescent="0.25">
      <c r="B6" t="s">
        <v>22</v>
      </c>
      <c r="C6" t="s">
        <v>30</v>
      </c>
    </row>
    <row r="7" spans="1:8" x14ac:dyDescent="0.25">
      <c r="B7">
        <v>0</v>
      </c>
      <c r="C7">
        <f t="array" ref="C7:C506">INDEX(get_ame_call_lower_bound(_S0,_r,_q,_T,_sigma,D4,E3),  ROW($A$1:$A$500)-1)</f>
        <v>0</v>
      </c>
    </row>
    <row r="8" spans="1:8" x14ac:dyDescent="0.25">
      <c r="B8">
        <v>1</v>
      </c>
      <c r="C8">
        <v>0</v>
      </c>
    </row>
    <row r="9" spans="1:8" x14ac:dyDescent="0.25">
      <c r="B9">
        <v>2</v>
      </c>
      <c r="C9">
        <v>0</v>
      </c>
    </row>
    <row r="10" spans="1:8" x14ac:dyDescent="0.25">
      <c r="B10">
        <v>3</v>
      </c>
      <c r="C10">
        <v>0</v>
      </c>
    </row>
    <row r="11" spans="1:8" x14ac:dyDescent="0.25">
      <c r="B11">
        <v>4</v>
      </c>
      <c r="C11">
        <v>0</v>
      </c>
    </row>
    <row r="12" spans="1:8" x14ac:dyDescent="0.25">
      <c r="B12">
        <v>5</v>
      </c>
      <c r="C12">
        <v>0</v>
      </c>
    </row>
    <row r="13" spans="1:8" x14ac:dyDescent="0.25">
      <c r="B13">
        <v>6</v>
      </c>
      <c r="C13">
        <v>0</v>
      </c>
    </row>
    <row r="14" spans="1:8" x14ac:dyDescent="0.25">
      <c r="B14">
        <v>7</v>
      </c>
      <c r="C14">
        <v>0</v>
      </c>
    </row>
    <row r="15" spans="1:8" x14ac:dyDescent="0.25">
      <c r="B15">
        <v>8</v>
      </c>
      <c r="C15">
        <v>0</v>
      </c>
    </row>
    <row r="16" spans="1:8" x14ac:dyDescent="0.25">
      <c r="B16">
        <v>9</v>
      </c>
      <c r="C16">
        <v>0</v>
      </c>
    </row>
    <row r="17" spans="2:3" x14ac:dyDescent="0.25">
      <c r="B17">
        <v>10</v>
      </c>
      <c r="C17">
        <v>0</v>
      </c>
    </row>
    <row r="18" spans="2:3" x14ac:dyDescent="0.25">
      <c r="B18">
        <v>11</v>
      </c>
      <c r="C18">
        <v>0</v>
      </c>
    </row>
    <row r="19" spans="2:3" x14ac:dyDescent="0.25">
      <c r="B19">
        <v>12</v>
      </c>
      <c r="C19">
        <v>0</v>
      </c>
    </row>
    <row r="20" spans="2:3" x14ac:dyDescent="0.25">
      <c r="B20">
        <v>13</v>
      </c>
      <c r="C20">
        <v>0</v>
      </c>
    </row>
    <row r="21" spans="2:3" x14ac:dyDescent="0.25">
      <c r="B21">
        <v>14</v>
      </c>
      <c r="C21">
        <v>0</v>
      </c>
    </row>
    <row r="22" spans="2:3" x14ac:dyDescent="0.25">
      <c r="B22">
        <v>15</v>
      </c>
      <c r="C22">
        <v>0</v>
      </c>
    </row>
    <row r="23" spans="2:3" x14ac:dyDescent="0.25">
      <c r="B23">
        <v>16</v>
      </c>
      <c r="C23">
        <v>0</v>
      </c>
    </row>
    <row r="24" spans="2:3" x14ac:dyDescent="0.25">
      <c r="B24">
        <v>17</v>
      </c>
      <c r="C24">
        <v>0</v>
      </c>
    </row>
    <row r="25" spans="2:3" x14ac:dyDescent="0.25">
      <c r="B25">
        <v>18</v>
      </c>
      <c r="C25">
        <v>0</v>
      </c>
    </row>
    <row r="26" spans="2:3" x14ac:dyDescent="0.25">
      <c r="B26">
        <v>19</v>
      </c>
      <c r="C26">
        <v>0</v>
      </c>
    </row>
    <row r="27" spans="2:3" x14ac:dyDescent="0.25">
      <c r="B27">
        <v>20</v>
      </c>
      <c r="C27">
        <v>0</v>
      </c>
    </row>
    <row r="28" spans="2:3" x14ac:dyDescent="0.25">
      <c r="B28">
        <v>21</v>
      </c>
      <c r="C28">
        <v>0</v>
      </c>
    </row>
    <row r="29" spans="2:3" x14ac:dyDescent="0.25">
      <c r="B29">
        <v>22</v>
      </c>
      <c r="C29">
        <v>0</v>
      </c>
    </row>
    <row r="30" spans="2:3" x14ac:dyDescent="0.25">
      <c r="B30">
        <v>23</v>
      </c>
      <c r="C30">
        <v>0</v>
      </c>
    </row>
    <row r="31" spans="2:3" x14ac:dyDescent="0.25">
      <c r="B31">
        <v>24</v>
      </c>
      <c r="C31">
        <v>0</v>
      </c>
    </row>
    <row r="32" spans="2:3" x14ac:dyDescent="0.25">
      <c r="B32">
        <v>25</v>
      </c>
      <c r="C32">
        <v>0</v>
      </c>
    </row>
    <row r="33" spans="2:3" x14ac:dyDescent="0.25">
      <c r="B33">
        <v>26</v>
      </c>
      <c r="C33">
        <v>0</v>
      </c>
    </row>
    <row r="34" spans="2:3" x14ac:dyDescent="0.25">
      <c r="B34">
        <v>27</v>
      </c>
      <c r="C34">
        <v>0</v>
      </c>
    </row>
    <row r="35" spans="2:3" x14ac:dyDescent="0.25">
      <c r="B35">
        <v>28</v>
      </c>
      <c r="C35">
        <v>0</v>
      </c>
    </row>
    <row r="36" spans="2:3" x14ac:dyDescent="0.25">
      <c r="B36">
        <v>29</v>
      </c>
      <c r="C36">
        <v>0</v>
      </c>
    </row>
    <row r="37" spans="2:3" x14ac:dyDescent="0.25">
      <c r="B37">
        <v>30</v>
      </c>
      <c r="C37">
        <v>0</v>
      </c>
    </row>
    <row r="38" spans="2:3" x14ac:dyDescent="0.25">
      <c r="B38">
        <v>31</v>
      </c>
      <c r="C38">
        <v>0</v>
      </c>
    </row>
    <row r="39" spans="2:3" x14ac:dyDescent="0.25">
      <c r="B39">
        <v>32</v>
      </c>
      <c r="C39">
        <v>0</v>
      </c>
    </row>
    <row r="40" spans="2:3" x14ac:dyDescent="0.25">
      <c r="B40">
        <v>33</v>
      </c>
      <c r="C40">
        <v>0</v>
      </c>
    </row>
    <row r="41" spans="2:3" x14ac:dyDescent="0.25">
      <c r="B41">
        <v>34</v>
      </c>
      <c r="C41">
        <v>0</v>
      </c>
    </row>
    <row r="42" spans="2:3" x14ac:dyDescent="0.25">
      <c r="B42">
        <v>35</v>
      </c>
      <c r="C42">
        <v>0</v>
      </c>
    </row>
    <row r="43" spans="2:3" x14ac:dyDescent="0.25">
      <c r="B43">
        <v>36</v>
      </c>
      <c r="C43">
        <v>0</v>
      </c>
    </row>
    <row r="44" spans="2:3" x14ac:dyDescent="0.25">
      <c r="B44">
        <v>37</v>
      </c>
      <c r="C44">
        <v>0</v>
      </c>
    </row>
    <row r="45" spans="2:3" x14ac:dyDescent="0.25">
      <c r="B45">
        <v>38</v>
      </c>
      <c r="C45">
        <v>0</v>
      </c>
    </row>
    <row r="46" spans="2:3" x14ac:dyDescent="0.25">
      <c r="B46">
        <v>39</v>
      </c>
      <c r="C46">
        <v>0</v>
      </c>
    </row>
    <row r="47" spans="2:3" x14ac:dyDescent="0.25">
      <c r="B47">
        <v>40</v>
      </c>
      <c r="C47">
        <v>0</v>
      </c>
    </row>
    <row r="48" spans="2:3" x14ac:dyDescent="0.25">
      <c r="B48">
        <v>41</v>
      </c>
      <c r="C48">
        <v>0</v>
      </c>
    </row>
    <row r="49" spans="2:3" x14ac:dyDescent="0.25">
      <c r="B49">
        <v>42</v>
      </c>
      <c r="C49">
        <v>0</v>
      </c>
    </row>
    <row r="50" spans="2:3" x14ac:dyDescent="0.25">
      <c r="B50">
        <v>43</v>
      </c>
      <c r="C50">
        <v>0</v>
      </c>
    </row>
    <row r="51" spans="2:3" x14ac:dyDescent="0.25">
      <c r="B51">
        <v>44</v>
      </c>
      <c r="C51">
        <v>0</v>
      </c>
    </row>
    <row r="52" spans="2:3" x14ac:dyDescent="0.25">
      <c r="B52">
        <v>45</v>
      </c>
      <c r="C52">
        <v>0</v>
      </c>
    </row>
    <row r="53" spans="2:3" x14ac:dyDescent="0.25">
      <c r="B53">
        <v>46</v>
      </c>
      <c r="C53">
        <v>0</v>
      </c>
    </row>
    <row r="54" spans="2:3" x14ac:dyDescent="0.25">
      <c r="B54">
        <v>47</v>
      </c>
      <c r="C54">
        <v>0</v>
      </c>
    </row>
    <row r="55" spans="2:3" x14ac:dyDescent="0.25">
      <c r="B55">
        <v>48</v>
      </c>
      <c r="C55">
        <v>0</v>
      </c>
    </row>
    <row r="56" spans="2:3" x14ac:dyDescent="0.25">
      <c r="B56">
        <v>49</v>
      </c>
      <c r="C56">
        <v>0</v>
      </c>
    </row>
    <row r="57" spans="2:3" x14ac:dyDescent="0.25">
      <c r="B57">
        <v>50</v>
      </c>
      <c r="C57">
        <v>0</v>
      </c>
    </row>
    <row r="58" spans="2:3" x14ac:dyDescent="0.25">
      <c r="B58">
        <v>51</v>
      </c>
      <c r="C58">
        <v>0</v>
      </c>
    </row>
    <row r="59" spans="2:3" x14ac:dyDescent="0.25">
      <c r="B59">
        <v>52</v>
      </c>
      <c r="C59">
        <v>0</v>
      </c>
    </row>
    <row r="60" spans="2:3" x14ac:dyDescent="0.25">
      <c r="B60">
        <v>53</v>
      </c>
      <c r="C60">
        <v>0</v>
      </c>
    </row>
    <row r="61" spans="2:3" x14ac:dyDescent="0.25">
      <c r="B61">
        <v>54</v>
      </c>
      <c r="C61">
        <v>0</v>
      </c>
    </row>
    <row r="62" spans="2:3" x14ac:dyDescent="0.25">
      <c r="B62">
        <v>55</v>
      </c>
      <c r="C62">
        <v>0</v>
      </c>
    </row>
    <row r="63" spans="2:3" x14ac:dyDescent="0.25">
      <c r="B63">
        <v>56</v>
      </c>
      <c r="C63">
        <v>0</v>
      </c>
    </row>
    <row r="64" spans="2:3" x14ac:dyDescent="0.25">
      <c r="B64">
        <v>57</v>
      </c>
      <c r="C64">
        <v>0</v>
      </c>
    </row>
    <row r="65" spans="2:3" x14ac:dyDescent="0.25">
      <c r="B65">
        <v>58</v>
      </c>
      <c r="C65">
        <v>0</v>
      </c>
    </row>
    <row r="66" spans="2:3" x14ac:dyDescent="0.25">
      <c r="B66">
        <v>59</v>
      </c>
      <c r="C66">
        <v>0</v>
      </c>
    </row>
    <row r="67" spans="2:3" x14ac:dyDescent="0.25">
      <c r="B67">
        <v>60</v>
      </c>
      <c r="C67">
        <v>0</v>
      </c>
    </row>
    <row r="68" spans="2:3" x14ac:dyDescent="0.25">
      <c r="B68">
        <v>61</v>
      </c>
      <c r="C68">
        <v>0</v>
      </c>
    </row>
    <row r="69" spans="2:3" x14ac:dyDescent="0.25">
      <c r="B69">
        <v>62</v>
      </c>
      <c r="C69">
        <v>0</v>
      </c>
    </row>
    <row r="70" spans="2:3" x14ac:dyDescent="0.25">
      <c r="B70">
        <v>63</v>
      </c>
      <c r="C70">
        <v>0</v>
      </c>
    </row>
    <row r="71" spans="2:3" x14ac:dyDescent="0.25">
      <c r="B71">
        <v>64</v>
      </c>
      <c r="C71">
        <v>0</v>
      </c>
    </row>
    <row r="72" spans="2:3" x14ac:dyDescent="0.25">
      <c r="B72">
        <v>65</v>
      </c>
      <c r="C72">
        <v>0</v>
      </c>
    </row>
    <row r="73" spans="2:3" x14ac:dyDescent="0.25">
      <c r="B73">
        <v>66</v>
      </c>
      <c r="C73">
        <v>0</v>
      </c>
    </row>
    <row r="74" spans="2:3" x14ac:dyDescent="0.25">
      <c r="B74">
        <v>67</v>
      </c>
      <c r="C74">
        <v>0</v>
      </c>
    </row>
    <row r="75" spans="2:3" x14ac:dyDescent="0.25">
      <c r="B75">
        <v>68</v>
      </c>
      <c r="C75">
        <v>0</v>
      </c>
    </row>
    <row r="76" spans="2:3" x14ac:dyDescent="0.25">
      <c r="B76">
        <v>69</v>
      </c>
      <c r="C76">
        <v>0</v>
      </c>
    </row>
    <row r="77" spans="2:3" x14ac:dyDescent="0.25">
      <c r="B77">
        <v>70</v>
      </c>
      <c r="C77">
        <v>0</v>
      </c>
    </row>
    <row r="78" spans="2:3" x14ac:dyDescent="0.25">
      <c r="B78">
        <v>71</v>
      </c>
      <c r="C78">
        <v>0</v>
      </c>
    </row>
    <row r="79" spans="2:3" x14ac:dyDescent="0.25">
      <c r="B79">
        <v>72</v>
      </c>
      <c r="C79">
        <v>0</v>
      </c>
    </row>
    <row r="80" spans="2:3" x14ac:dyDescent="0.25">
      <c r="B80">
        <v>73</v>
      </c>
      <c r="C80">
        <v>0</v>
      </c>
    </row>
    <row r="81" spans="2:3" x14ac:dyDescent="0.25">
      <c r="B81">
        <v>74</v>
      </c>
      <c r="C81">
        <v>0</v>
      </c>
    </row>
    <row r="82" spans="2:3" x14ac:dyDescent="0.25">
      <c r="B82">
        <v>75</v>
      </c>
      <c r="C82">
        <v>0</v>
      </c>
    </row>
    <row r="83" spans="2:3" x14ac:dyDescent="0.25">
      <c r="B83">
        <v>76</v>
      </c>
      <c r="C83">
        <v>0</v>
      </c>
    </row>
    <row r="84" spans="2:3" x14ac:dyDescent="0.25">
      <c r="B84">
        <v>77</v>
      </c>
      <c r="C84">
        <v>0</v>
      </c>
    </row>
    <row r="85" spans="2:3" x14ac:dyDescent="0.25">
      <c r="B85">
        <v>78</v>
      </c>
      <c r="C85">
        <v>0</v>
      </c>
    </row>
    <row r="86" spans="2:3" x14ac:dyDescent="0.25">
      <c r="B86">
        <v>79</v>
      </c>
      <c r="C86">
        <v>0</v>
      </c>
    </row>
    <row r="87" spans="2:3" x14ac:dyDescent="0.25">
      <c r="B87">
        <v>80</v>
      </c>
      <c r="C87">
        <v>0</v>
      </c>
    </row>
    <row r="88" spans="2:3" x14ac:dyDescent="0.25">
      <c r="B88">
        <v>81</v>
      </c>
      <c r="C88">
        <v>0</v>
      </c>
    </row>
    <row r="89" spans="2:3" x14ac:dyDescent="0.25">
      <c r="B89">
        <v>82</v>
      </c>
      <c r="C89">
        <v>0</v>
      </c>
    </row>
    <row r="90" spans="2:3" x14ac:dyDescent="0.25">
      <c r="B90">
        <v>83</v>
      </c>
      <c r="C90">
        <v>0</v>
      </c>
    </row>
    <row r="91" spans="2:3" x14ac:dyDescent="0.25">
      <c r="B91">
        <v>84</v>
      </c>
      <c r="C91">
        <v>0</v>
      </c>
    </row>
    <row r="92" spans="2:3" x14ac:dyDescent="0.25">
      <c r="B92">
        <v>85</v>
      </c>
      <c r="C92">
        <v>0</v>
      </c>
    </row>
    <row r="93" spans="2:3" x14ac:dyDescent="0.25">
      <c r="B93">
        <v>86</v>
      </c>
      <c r="C93">
        <v>0</v>
      </c>
    </row>
    <row r="94" spans="2:3" x14ac:dyDescent="0.25">
      <c r="B94">
        <v>87</v>
      </c>
      <c r="C94">
        <v>0</v>
      </c>
    </row>
    <row r="95" spans="2:3" x14ac:dyDescent="0.25">
      <c r="B95">
        <v>88</v>
      </c>
      <c r="C95">
        <v>0</v>
      </c>
    </row>
    <row r="96" spans="2:3" x14ac:dyDescent="0.25">
      <c r="B96">
        <v>89</v>
      </c>
      <c r="C96">
        <v>0</v>
      </c>
    </row>
    <row r="97" spans="2:3" x14ac:dyDescent="0.25">
      <c r="B97">
        <v>90</v>
      </c>
      <c r="C97">
        <v>0</v>
      </c>
    </row>
    <row r="98" spans="2:3" x14ac:dyDescent="0.25">
      <c r="B98">
        <v>91</v>
      </c>
      <c r="C98">
        <v>0</v>
      </c>
    </row>
    <row r="99" spans="2:3" x14ac:dyDescent="0.25">
      <c r="B99">
        <v>92</v>
      </c>
      <c r="C99">
        <v>0</v>
      </c>
    </row>
    <row r="100" spans="2:3" x14ac:dyDescent="0.25">
      <c r="B100">
        <v>93</v>
      </c>
      <c r="C100">
        <v>0</v>
      </c>
    </row>
    <row r="101" spans="2:3" x14ac:dyDescent="0.25">
      <c r="B101">
        <v>94</v>
      </c>
      <c r="C101">
        <v>0</v>
      </c>
    </row>
    <row r="102" spans="2:3" x14ac:dyDescent="0.25">
      <c r="B102">
        <v>95</v>
      </c>
      <c r="C102">
        <v>0</v>
      </c>
    </row>
    <row r="103" spans="2:3" x14ac:dyDescent="0.25">
      <c r="B103">
        <v>96</v>
      </c>
      <c r="C103">
        <v>0</v>
      </c>
    </row>
    <row r="104" spans="2:3" x14ac:dyDescent="0.25">
      <c r="B104">
        <v>97</v>
      </c>
      <c r="C104">
        <v>0</v>
      </c>
    </row>
    <row r="105" spans="2:3" x14ac:dyDescent="0.25">
      <c r="B105">
        <v>98</v>
      </c>
      <c r="C105">
        <v>0</v>
      </c>
    </row>
    <row r="106" spans="2:3" x14ac:dyDescent="0.25">
      <c r="B106">
        <v>99</v>
      </c>
      <c r="C106">
        <v>0</v>
      </c>
    </row>
    <row r="107" spans="2:3" x14ac:dyDescent="0.25">
      <c r="B107">
        <v>100</v>
      </c>
      <c r="C107">
        <v>0</v>
      </c>
    </row>
    <row r="108" spans="2:3" x14ac:dyDescent="0.25">
      <c r="B108">
        <v>101</v>
      </c>
      <c r="C108">
        <v>0</v>
      </c>
    </row>
    <row r="109" spans="2:3" x14ac:dyDescent="0.25">
      <c r="B109">
        <v>102</v>
      </c>
      <c r="C109">
        <v>0</v>
      </c>
    </row>
    <row r="110" spans="2:3" x14ac:dyDescent="0.25">
      <c r="B110">
        <v>103</v>
      </c>
      <c r="C110">
        <v>0</v>
      </c>
    </row>
    <row r="111" spans="2:3" x14ac:dyDescent="0.25">
      <c r="B111">
        <v>104</v>
      </c>
      <c r="C111">
        <v>0</v>
      </c>
    </row>
    <row r="112" spans="2:3" x14ac:dyDescent="0.25">
      <c r="B112">
        <v>105</v>
      </c>
      <c r="C112">
        <v>0</v>
      </c>
    </row>
    <row r="113" spans="2:3" x14ac:dyDescent="0.25">
      <c r="B113">
        <v>106</v>
      </c>
      <c r="C113">
        <v>0</v>
      </c>
    </row>
    <row r="114" spans="2:3" x14ac:dyDescent="0.25">
      <c r="B114">
        <v>107</v>
      </c>
      <c r="C114">
        <v>0</v>
      </c>
    </row>
    <row r="115" spans="2:3" x14ac:dyDescent="0.25">
      <c r="B115">
        <v>108</v>
      </c>
      <c r="C115">
        <v>0</v>
      </c>
    </row>
    <row r="116" spans="2:3" x14ac:dyDescent="0.25">
      <c r="B116">
        <v>109</v>
      </c>
      <c r="C116">
        <v>0</v>
      </c>
    </row>
    <row r="117" spans="2:3" x14ac:dyDescent="0.25">
      <c r="B117">
        <v>110</v>
      </c>
      <c r="C117">
        <v>0</v>
      </c>
    </row>
    <row r="118" spans="2:3" x14ac:dyDescent="0.25">
      <c r="B118">
        <v>111</v>
      </c>
      <c r="C118">
        <v>0</v>
      </c>
    </row>
    <row r="119" spans="2:3" x14ac:dyDescent="0.25">
      <c r="B119">
        <v>112</v>
      </c>
      <c r="C119">
        <v>0</v>
      </c>
    </row>
    <row r="120" spans="2:3" x14ac:dyDescent="0.25">
      <c r="B120">
        <v>113</v>
      </c>
      <c r="C120">
        <v>0</v>
      </c>
    </row>
    <row r="121" spans="2:3" x14ac:dyDescent="0.25">
      <c r="B121">
        <v>114</v>
      </c>
      <c r="C121">
        <v>0</v>
      </c>
    </row>
    <row r="122" spans="2:3" x14ac:dyDescent="0.25">
      <c r="B122">
        <v>115</v>
      </c>
      <c r="C122">
        <v>0</v>
      </c>
    </row>
    <row r="123" spans="2:3" x14ac:dyDescent="0.25">
      <c r="B123">
        <v>116</v>
      </c>
      <c r="C123">
        <v>0</v>
      </c>
    </row>
    <row r="124" spans="2:3" x14ac:dyDescent="0.25">
      <c r="B124">
        <v>117</v>
      </c>
      <c r="C124">
        <v>0</v>
      </c>
    </row>
    <row r="125" spans="2:3" x14ac:dyDescent="0.25">
      <c r="B125">
        <v>118</v>
      </c>
      <c r="C125">
        <v>0</v>
      </c>
    </row>
    <row r="126" spans="2:3" x14ac:dyDescent="0.25">
      <c r="B126">
        <v>119</v>
      </c>
      <c r="C126">
        <v>0</v>
      </c>
    </row>
    <row r="127" spans="2:3" x14ac:dyDescent="0.25">
      <c r="B127">
        <v>120</v>
      </c>
      <c r="C127">
        <v>0</v>
      </c>
    </row>
    <row r="128" spans="2:3" x14ac:dyDescent="0.25">
      <c r="B128">
        <v>121</v>
      </c>
      <c r="C128">
        <v>0</v>
      </c>
    </row>
    <row r="129" spans="2:3" x14ac:dyDescent="0.25">
      <c r="B129">
        <v>122</v>
      </c>
      <c r="C129">
        <v>0</v>
      </c>
    </row>
    <row r="130" spans="2:3" x14ac:dyDescent="0.25">
      <c r="B130">
        <v>123</v>
      </c>
      <c r="C130">
        <v>0</v>
      </c>
    </row>
    <row r="131" spans="2:3" x14ac:dyDescent="0.25">
      <c r="B131">
        <v>124</v>
      </c>
      <c r="C131">
        <v>0</v>
      </c>
    </row>
    <row r="132" spans="2:3" x14ac:dyDescent="0.25">
      <c r="B132">
        <v>125</v>
      </c>
      <c r="C132">
        <v>0</v>
      </c>
    </row>
    <row r="133" spans="2:3" x14ac:dyDescent="0.25">
      <c r="B133">
        <v>126</v>
      </c>
      <c r="C133">
        <v>0</v>
      </c>
    </row>
    <row r="134" spans="2:3" x14ac:dyDescent="0.25">
      <c r="B134">
        <v>127</v>
      </c>
      <c r="C134">
        <v>0</v>
      </c>
    </row>
    <row r="135" spans="2:3" x14ac:dyDescent="0.25">
      <c r="B135">
        <v>128</v>
      </c>
      <c r="C135">
        <v>0</v>
      </c>
    </row>
    <row r="136" spans="2:3" x14ac:dyDescent="0.25">
      <c r="B136">
        <v>129</v>
      </c>
      <c r="C136">
        <v>0</v>
      </c>
    </row>
    <row r="137" spans="2:3" x14ac:dyDescent="0.25">
      <c r="B137">
        <v>130</v>
      </c>
      <c r="C137">
        <v>0</v>
      </c>
    </row>
    <row r="138" spans="2:3" x14ac:dyDescent="0.25">
      <c r="B138">
        <v>131</v>
      </c>
      <c r="C138">
        <v>0</v>
      </c>
    </row>
    <row r="139" spans="2:3" x14ac:dyDescent="0.25">
      <c r="B139">
        <v>132</v>
      </c>
      <c r="C139">
        <v>0</v>
      </c>
    </row>
    <row r="140" spans="2:3" x14ac:dyDescent="0.25">
      <c r="B140">
        <v>133</v>
      </c>
      <c r="C140">
        <v>0</v>
      </c>
    </row>
    <row r="141" spans="2:3" x14ac:dyDescent="0.25">
      <c r="B141">
        <v>134</v>
      </c>
      <c r="C141">
        <v>0</v>
      </c>
    </row>
    <row r="142" spans="2:3" x14ac:dyDescent="0.25">
      <c r="B142">
        <v>135</v>
      </c>
      <c r="C142">
        <v>0</v>
      </c>
    </row>
    <row r="143" spans="2:3" x14ac:dyDescent="0.25">
      <c r="B143">
        <v>136</v>
      </c>
      <c r="C143">
        <v>0</v>
      </c>
    </row>
    <row r="144" spans="2:3" x14ac:dyDescent="0.25">
      <c r="B144">
        <v>137</v>
      </c>
      <c r="C144">
        <v>0</v>
      </c>
    </row>
    <row r="145" spans="2:3" x14ac:dyDescent="0.25">
      <c r="B145">
        <v>138</v>
      </c>
      <c r="C145">
        <v>0</v>
      </c>
    </row>
    <row r="146" spans="2:3" x14ac:dyDescent="0.25">
      <c r="B146">
        <v>139</v>
      </c>
      <c r="C146">
        <v>0</v>
      </c>
    </row>
    <row r="147" spans="2:3" x14ac:dyDescent="0.25">
      <c r="B147">
        <v>140</v>
      </c>
      <c r="C147">
        <v>0</v>
      </c>
    </row>
    <row r="148" spans="2:3" x14ac:dyDescent="0.25">
      <c r="B148">
        <v>141</v>
      </c>
      <c r="C148">
        <v>0</v>
      </c>
    </row>
    <row r="149" spans="2:3" x14ac:dyDescent="0.25">
      <c r="B149">
        <v>142</v>
      </c>
      <c r="C149">
        <v>0</v>
      </c>
    </row>
    <row r="150" spans="2:3" x14ac:dyDescent="0.25">
      <c r="B150">
        <v>143</v>
      </c>
      <c r="C150">
        <v>0</v>
      </c>
    </row>
    <row r="151" spans="2:3" x14ac:dyDescent="0.25">
      <c r="B151">
        <v>144</v>
      </c>
      <c r="C151">
        <v>0</v>
      </c>
    </row>
    <row r="152" spans="2:3" x14ac:dyDescent="0.25">
      <c r="B152">
        <v>145</v>
      </c>
      <c r="C152">
        <v>0</v>
      </c>
    </row>
    <row r="153" spans="2:3" x14ac:dyDescent="0.25">
      <c r="B153">
        <v>146</v>
      </c>
      <c r="C153">
        <v>0</v>
      </c>
    </row>
    <row r="154" spans="2:3" x14ac:dyDescent="0.25">
      <c r="B154">
        <v>147</v>
      </c>
      <c r="C154">
        <v>0</v>
      </c>
    </row>
    <row r="155" spans="2:3" x14ac:dyDescent="0.25">
      <c r="B155">
        <v>148</v>
      </c>
      <c r="C155">
        <v>0</v>
      </c>
    </row>
    <row r="156" spans="2:3" x14ac:dyDescent="0.25">
      <c r="B156">
        <v>149</v>
      </c>
      <c r="C156">
        <v>0</v>
      </c>
    </row>
    <row r="157" spans="2:3" x14ac:dyDescent="0.25">
      <c r="B157">
        <v>150</v>
      </c>
      <c r="C157">
        <v>0</v>
      </c>
    </row>
    <row r="158" spans="2:3" x14ac:dyDescent="0.25">
      <c r="B158">
        <v>151</v>
      </c>
      <c r="C158">
        <v>0</v>
      </c>
    </row>
    <row r="159" spans="2:3" x14ac:dyDescent="0.25">
      <c r="B159">
        <v>152</v>
      </c>
      <c r="C159">
        <v>0</v>
      </c>
    </row>
    <row r="160" spans="2:3" x14ac:dyDescent="0.25">
      <c r="B160">
        <v>153</v>
      </c>
      <c r="C160">
        <v>0</v>
      </c>
    </row>
    <row r="161" spans="2:3" x14ac:dyDescent="0.25">
      <c r="B161">
        <v>154</v>
      </c>
      <c r="C161">
        <v>0</v>
      </c>
    </row>
    <row r="162" spans="2:3" x14ac:dyDescent="0.25">
      <c r="B162">
        <v>155</v>
      </c>
      <c r="C162">
        <v>0</v>
      </c>
    </row>
    <row r="163" spans="2:3" x14ac:dyDescent="0.25">
      <c r="B163">
        <v>156</v>
      </c>
      <c r="C163">
        <v>0</v>
      </c>
    </row>
    <row r="164" spans="2:3" x14ac:dyDescent="0.25">
      <c r="B164">
        <v>157</v>
      </c>
      <c r="C164">
        <v>0</v>
      </c>
    </row>
    <row r="165" spans="2:3" x14ac:dyDescent="0.25">
      <c r="B165">
        <v>158</v>
      </c>
      <c r="C165">
        <v>0</v>
      </c>
    </row>
    <row r="166" spans="2:3" x14ac:dyDescent="0.25">
      <c r="B166">
        <v>159</v>
      </c>
      <c r="C166">
        <v>447.68497170685686</v>
      </c>
    </row>
    <row r="167" spans="2:3" x14ac:dyDescent="0.25">
      <c r="B167">
        <v>160</v>
      </c>
      <c r="C167">
        <v>451.95229394311792</v>
      </c>
    </row>
    <row r="168" spans="2:3" x14ac:dyDescent="0.25">
      <c r="B168">
        <v>161</v>
      </c>
      <c r="C168">
        <v>447.68497170685686</v>
      </c>
    </row>
    <row r="169" spans="2:3" x14ac:dyDescent="0.25">
      <c r="B169">
        <v>162</v>
      </c>
      <c r="C169">
        <v>451.95229394311792</v>
      </c>
    </row>
    <row r="170" spans="2:3" x14ac:dyDescent="0.25">
      <c r="B170">
        <v>163</v>
      </c>
      <c r="C170">
        <v>447.68497170685686</v>
      </c>
    </row>
    <row r="171" spans="2:3" x14ac:dyDescent="0.25">
      <c r="B171">
        <v>164</v>
      </c>
      <c r="C171">
        <v>451.95229394311792</v>
      </c>
    </row>
    <row r="172" spans="2:3" x14ac:dyDescent="0.25">
      <c r="B172">
        <v>165</v>
      </c>
      <c r="C172">
        <v>447.68497170685686</v>
      </c>
    </row>
    <row r="173" spans="2:3" x14ac:dyDescent="0.25">
      <c r="B173">
        <v>166</v>
      </c>
      <c r="C173">
        <v>451.95229394311792</v>
      </c>
    </row>
    <row r="174" spans="2:3" x14ac:dyDescent="0.25">
      <c r="B174">
        <v>167</v>
      </c>
      <c r="C174">
        <v>447.68497170685686</v>
      </c>
    </row>
    <row r="175" spans="2:3" x14ac:dyDescent="0.25">
      <c r="B175">
        <v>168</v>
      </c>
      <c r="C175">
        <v>451.95229394311792</v>
      </c>
    </row>
    <row r="176" spans="2:3" x14ac:dyDescent="0.25">
      <c r="B176">
        <v>169</v>
      </c>
      <c r="C176">
        <v>447.68497170685686</v>
      </c>
    </row>
    <row r="177" spans="2:3" x14ac:dyDescent="0.25">
      <c r="B177">
        <v>170</v>
      </c>
      <c r="C177">
        <v>451.95229394311792</v>
      </c>
    </row>
    <row r="178" spans="2:3" x14ac:dyDescent="0.25">
      <c r="B178">
        <v>171</v>
      </c>
      <c r="C178">
        <v>447.68497170685686</v>
      </c>
    </row>
    <row r="179" spans="2:3" x14ac:dyDescent="0.25">
      <c r="B179">
        <v>172</v>
      </c>
      <c r="C179">
        <v>451.95229394311792</v>
      </c>
    </row>
    <row r="180" spans="2:3" x14ac:dyDescent="0.25">
      <c r="B180">
        <v>173</v>
      </c>
      <c r="C180">
        <v>447.68497170685686</v>
      </c>
    </row>
    <row r="181" spans="2:3" x14ac:dyDescent="0.25">
      <c r="B181">
        <v>174</v>
      </c>
      <c r="C181">
        <v>451.95229394311792</v>
      </c>
    </row>
    <row r="182" spans="2:3" x14ac:dyDescent="0.25">
      <c r="B182">
        <v>175</v>
      </c>
      <c r="C182">
        <v>447.68497170685686</v>
      </c>
    </row>
    <row r="183" spans="2:3" x14ac:dyDescent="0.25">
      <c r="B183">
        <v>176</v>
      </c>
      <c r="C183">
        <v>451.95229394311792</v>
      </c>
    </row>
    <row r="184" spans="2:3" x14ac:dyDescent="0.25">
      <c r="B184">
        <v>177</v>
      </c>
      <c r="C184">
        <v>447.68497170685686</v>
      </c>
    </row>
    <row r="185" spans="2:3" x14ac:dyDescent="0.25">
      <c r="B185">
        <v>178</v>
      </c>
      <c r="C185">
        <v>451.95229394311792</v>
      </c>
    </row>
    <row r="186" spans="2:3" x14ac:dyDescent="0.25">
      <c r="B186">
        <v>179</v>
      </c>
      <c r="C186">
        <v>447.68497170685686</v>
      </c>
    </row>
    <row r="187" spans="2:3" x14ac:dyDescent="0.25">
      <c r="B187">
        <v>180</v>
      </c>
      <c r="C187">
        <v>451.95229394311792</v>
      </c>
    </row>
    <row r="188" spans="2:3" x14ac:dyDescent="0.25">
      <c r="B188">
        <v>181</v>
      </c>
      <c r="C188">
        <v>447.68497170685686</v>
      </c>
    </row>
    <row r="189" spans="2:3" x14ac:dyDescent="0.25">
      <c r="B189">
        <v>182</v>
      </c>
      <c r="C189">
        <v>443.45794142023766</v>
      </c>
    </row>
    <row r="190" spans="2:3" x14ac:dyDescent="0.25">
      <c r="B190">
        <v>183</v>
      </c>
      <c r="C190">
        <v>447.68497170685686</v>
      </c>
    </row>
    <row r="191" spans="2:3" x14ac:dyDescent="0.25">
      <c r="B191">
        <v>184</v>
      </c>
      <c r="C191">
        <v>443.45794142023766</v>
      </c>
    </row>
    <row r="192" spans="2:3" x14ac:dyDescent="0.25">
      <c r="B192">
        <v>185</v>
      </c>
      <c r="C192">
        <v>447.68497170685686</v>
      </c>
    </row>
    <row r="193" spans="2:3" x14ac:dyDescent="0.25">
      <c r="B193">
        <v>186</v>
      </c>
      <c r="C193">
        <v>443.45794142023766</v>
      </c>
    </row>
    <row r="194" spans="2:3" x14ac:dyDescent="0.25">
      <c r="B194">
        <v>187</v>
      </c>
      <c r="C194">
        <v>447.68497170685686</v>
      </c>
    </row>
    <row r="195" spans="2:3" x14ac:dyDescent="0.25">
      <c r="B195">
        <v>188</v>
      </c>
      <c r="C195">
        <v>443.45794142023766</v>
      </c>
    </row>
    <row r="196" spans="2:3" x14ac:dyDescent="0.25">
      <c r="B196">
        <v>189</v>
      </c>
      <c r="C196">
        <v>447.68497170685686</v>
      </c>
    </row>
    <row r="197" spans="2:3" x14ac:dyDescent="0.25">
      <c r="B197">
        <v>190</v>
      </c>
      <c r="C197">
        <v>443.45794142023766</v>
      </c>
    </row>
    <row r="198" spans="2:3" x14ac:dyDescent="0.25">
      <c r="B198">
        <v>191</v>
      </c>
      <c r="C198">
        <v>447.68497170685686</v>
      </c>
    </row>
    <row r="199" spans="2:3" x14ac:dyDescent="0.25">
      <c r="B199">
        <v>192</v>
      </c>
      <c r="C199">
        <v>443.45794142023766</v>
      </c>
    </row>
    <row r="200" spans="2:3" x14ac:dyDescent="0.25">
      <c r="B200">
        <v>193</v>
      </c>
      <c r="C200">
        <v>447.68497170685686</v>
      </c>
    </row>
    <row r="201" spans="2:3" x14ac:dyDescent="0.25">
      <c r="B201">
        <v>194</v>
      </c>
      <c r="C201">
        <v>443.45794142023766</v>
      </c>
    </row>
    <row r="202" spans="2:3" x14ac:dyDescent="0.25">
      <c r="B202">
        <v>195</v>
      </c>
      <c r="C202">
        <v>447.68497170685686</v>
      </c>
    </row>
    <row r="203" spans="2:3" x14ac:dyDescent="0.25">
      <c r="B203">
        <v>196</v>
      </c>
      <c r="C203">
        <v>443.45794142023766</v>
      </c>
    </row>
    <row r="204" spans="2:3" x14ac:dyDescent="0.25">
      <c r="B204">
        <v>197</v>
      </c>
      <c r="C204">
        <v>447.68497170685686</v>
      </c>
    </row>
    <row r="205" spans="2:3" x14ac:dyDescent="0.25">
      <c r="B205">
        <v>198</v>
      </c>
      <c r="C205">
        <v>443.45794142023766</v>
      </c>
    </row>
    <row r="206" spans="2:3" x14ac:dyDescent="0.25">
      <c r="B206">
        <v>199</v>
      </c>
      <c r="C206">
        <v>447.68497170685686</v>
      </c>
    </row>
    <row r="207" spans="2:3" x14ac:dyDescent="0.25">
      <c r="B207">
        <v>200</v>
      </c>
      <c r="C207">
        <v>443.45794142023766</v>
      </c>
    </row>
    <row r="208" spans="2:3" x14ac:dyDescent="0.25">
      <c r="B208">
        <v>201</v>
      </c>
      <c r="C208">
        <v>447.68497170685686</v>
      </c>
    </row>
    <row r="209" spans="2:3" x14ac:dyDescent="0.25">
      <c r="B209">
        <v>202</v>
      </c>
      <c r="C209">
        <v>443.45794142023766</v>
      </c>
    </row>
    <row r="210" spans="2:3" x14ac:dyDescent="0.25">
      <c r="B210">
        <v>203</v>
      </c>
      <c r="C210">
        <v>447.68497170685686</v>
      </c>
    </row>
    <row r="211" spans="2:3" x14ac:dyDescent="0.25">
      <c r="B211">
        <v>204</v>
      </c>
      <c r="C211">
        <v>443.45794142023766</v>
      </c>
    </row>
    <row r="212" spans="2:3" x14ac:dyDescent="0.25">
      <c r="B212">
        <v>205</v>
      </c>
      <c r="C212">
        <v>447.68497170685686</v>
      </c>
    </row>
    <row r="213" spans="2:3" x14ac:dyDescent="0.25">
      <c r="B213">
        <v>206</v>
      </c>
      <c r="C213">
        <v>443.45794142023766</v>
      </c>
    </row>
    <row r="214" spans="2:3" x14ac:dyDescent="0.25">
      <c r="B214">
        <v>207</v>
      </c>
      <c r="C214">
        <v>447.68497170685686</v>
      </c>
    </row>
    <row r="215" spans="2:3" x14ac:dyDescent="0.25">
      <c r="B215">
        <v>208</v>
      </c>
      <c r="C215">
        <v>443.45794142023766</v>
      </c>
    </row>
    <row r="216" spans="2:3" x14ac:dyDescent="0.25">
      <c r="B216">
        <v>209</v>
      </c>
      <c r="C216">
        <v>447.68497170685686</v>
      </c>
    </row>
    <row r="217" spans="2:3" x14ac:dyDescent="0.25">
      <c r="B217">
        <v>210</v>
      </c>
      <c r="C217">
        <v>443.45794142023766</v>
      </c>
    </row>
    <row r="218" spans="2:3" x14ac:dyDescent="0.25">
      <c r="B218">
        <v>211</v>
      </c>
      <c r="C218">
        <v>447.68497170685686</v>
      </c>
    </row>
    <row r="219" spans="2:3" x14ac:dyDescent="0.25">
      <c r="B219">
        <v>212</v>
      </c>
      <c r="C219">
        <v>443.45794142023766</v>
      </c>
    </row>
    <row r="220" spans="2:3" x14ac:dyDescent="0.25">
      <c r="B220">
        <v>213</v>
      </c>
      <c r="C220">
        <v>447.68497170685686</v>
      </c>
    </row>
    <row r="221" spans="2:3" x14ac:dyDescent="0.25">
      <c r="B221">
        <v>214</v>
      </c>
      <c r="C221">
        <v>443.45794142023766</v>
      </c>
    </row>
    <row r="222" spans="2:3" x14ac:dyDescent="0.25">
      <c r="B222">
        <v>215</v>
      </c>
      <c r="C222">
        <v>447.68497170685686</v>
      </c>
    </row>
    <row r="223" spans="2:3" x14ac:dyDescent="0.25">
      <c r="B223">
        <v>216</v>
      </c>
      <c r="C223">
        <v>443.45794142023766</v>
      </c>
    </row>
    <row r="224" spans="2:3" x14ac:dyDescent="0.25">
      <c r="B224">
        <v>217</v>
      </c>
      <c r="C224">
        <v>447.68497170685686</v>
      </c>
    </row>
    <row r="225" spans="2:3" x14ac:dyDescent="0.25">
      <c r="B225">
        <v>218</v>
      </c>
      <c r="C225">
        <v>443.45794142023766</v>
      </c>
    </row>
    <row r="226" spans="2:3" x14ac:dyDescent="0.25">
      <c r="B226">
        <v>219</v>
      </c>
      <c r="C226">
        <v>447.68497170685686</v>
      </c>
    </row>
    <row r="227" spans="2:3" x14ac:dyDescent="0.25">
      <c r="B227">
        <v>220</v>
      </c>
      <c r="C227">
        <v>443.45794142023766</v>
      </c>
    </row>
    <row r="228" spans="2:3" x14ac:dyDescent="0.25">
      <c r="B228">
        <v>221</v>
      </c>
      <c r="C228">
        <v>447.68497170685686</v>
      </c>
    </row>
    <row r="229" spans="2:3" x14ac:dyDescent="0.25">
      <c r="B229">
        <v>222</v>
      </c>
      <c r="C229">
        <v>443.45794142023766</v>
      </c>
    </row>
    <row r="230" spans="2:3" x14ac:dyDescent="0.25">
      <c r="B230">
        <v>223</v>
      </c>
      <c r="C230">
        <v>447.68497170685686</v>
      </c>
    </row>
    <row r="231" spans="2:3" x14ac:dyDescent="0.25">
      <c r="B231">
        <v>224</v>
      </c>
      <c r="C231">
        <v>443.45794142023766</v>
      </c>
    </row>
    <row r="232" spans="2:3" x14ac:dyDescent="0.25">
      <c r="B232">
        <v>225</v>
      </c>
      <c r="C232">
        <v>447.68497170685686</v>
      </c>
    </row>
    <row r="233" spans="2:3" x14ac:dyDescent="0.25">
      <c r="B233">
        <v>226</v>
      </c>
      <c r="C233">
        <v>443.45794142023766</v>
      </c>
    </row>
    <row r="234" spans="2:3" x14ac:dyDescent="0.25">
      <c r="B234">
        <v>227</v>
      </c>
      <c r="C234">
        <v>447.68497170685686</v>
      </c>
    </row>
    <row r="235" spans="2:3" x14ac:dyDescent="0.25">
      <c r="B235">
        <v>228</v>
      </c>
      <c r="C235">
        <v>443.45794142023766</v>
      </c>
    </row>
    <row r="236" spans="2:3" x14ac:dyDescent="0.25">
      <c r="B236">
        <v>229</v>
      </c>
      <c r="C236">
        <v>447.68497170685686</v>
      </c>
    </row>
    <row r="237" spans="2:3" x14ac:dyDescent="0.25">
      <c r="B237">
        <v>230</v>
      </c>
      <c r="C237">
        <v>443.45794142023766</v>
      </c>
    </row>
    <row r="238" spans="2:3" x14ac:dyDescent="0.25">
      <c r="B238">
        <v>231</v>
      </c>
      <c r="C238">
        <v>447.68497170685686</v>
      </c>
    </row>
    <row r="239" spans="2:3" x14ac:dyDescent="0.25">
      <c r="B239">
        <v>232</v>
      </c>
      <c r="C239">
        <v>443.45794142023766</v>
      </c>
    </row>
    <row r="240" spans="2:3" x14ac:dyDescent="0.25">
      <c r="B240">
        <v>233</v>
      </c>
      <c r="C240">
        <v>447.68497170685686</v>
      </c>
    </row>
    <row r="241" spans="2:3" x14ac:dyDescent="0.25">
      <c r="B241">
        <v>234</v>
      </c>
      <c r="C241">
        <v>443.45794142023766</v>
      </c>
    </row>
    <row r="242" spans="2:3" x14ac:dyDescent="0.25">
      <c r="B242">
        <v>235</v>
      </c>
      <c r="C242">
        <v>447.68497170685686</v>
      </c>
    </row>
    <row r="243" spans="2:3" x14ac:dyDescent="0.25">
      <c r="B243">
        <v>236</v>
      </c>
      <c r="C243">
        <v>443.45794142023766</v>
      </c>
    </row>
    <row r="244" spans="2:3" x14ac:dyDescent="0.25">
      <c r="B244">
        <v>237</v>
      </c>
      <c r="C244">
        <v>439.27082264768131</v>
      </c>
    </row>
    <row r="245" spans="2:3" x14ac:dyDescent="0.25">
      <c r="B245">
        <v>238</v>
      </c>
      <c r="C245">
        <v>443.45794142023766</v>
      </c>
    </row>
    <row r="246" spans="2:3" x14ac:dyDescent="0.25">
      <c r="B246">
        <v>239</v>
      </c>
      <c r="C246">
        <v>439.27082264768131</v>
      </c>
    </row>
    <row r="247" spans="2:3" x14ac:dyDescent="0.25">
      <c r="B247">
        <v>240</v>
      </c>
      <c r="C247">
        <v>443.45794142023766</v>
      </c>
    </row>
    <row r="248" spans="2:3" x14ac:dyDescent="0.25">
      <c r="B248">
        <v>241</v>
      </c>
      <c r="C248">
        <v>439.27082264768131</v>
      </c>
    </row>
    <row r="249" spans="2:3" x14ac:dyDescent="0.25">
      <c r="B249">
        <v>242</v>
      </c>
      <c r="C249">
        <v>443.45794142023766</v>
      </c>
    </row>
    <row r="250" spans="2:3" x14ac:dyDescent="0.25">
      <c r="B250">
        <v>243</v>
      </c>
      <c r="C250">
        <v>439.27082264768131</v>
      </c>
    </row>
    <row r="251" spans="2:3" x14ac:dyDescent="0.25">
      <c r="B251">
        <v>244</v>
      </c>
      <c r="C251">
        <v>443.45794142023766</v>
      </c>
    </row>
    <row r="252" spans="2:3" x14ac:dyDescent="0.25">
      <c r="B252">
        <v>245</v>
      </c>
      <c r="C252">
        <v>439.27082264768131</v>
      </c>
    </row>
    <row r="253" spans="2:3" x14ac:dyDescent="0.25">
      <c r="B253">
        <v>246</v>
      </c>
      <c r="C253">
        <v>443.45794142023766</v>
      </c>
    </row>
    <row r="254" spans="2:3" x14ac:dyDescent="0.25">
      <c r="B254">
        <v>247</v>
      </c>
      <c r="C254">
        <v>439.27082264768131</v>
      </c>
    </row>
    <row r="255" spans="2:3" x14ac:dyDescent="0.25">
      <c r="B255">
        <v>248</v>
      </c>
      <c r="C255">
        <v>443.45794142023766</v>
      </c>
    </row>
    <row r="256" spans="2:3" x14ac:dyDescent="0.25">
      <c r="B256">
        <v>249</v>
      </c>
      <c r="C256">
        <v>439.27082264768131</v>
      </c>
    </row>
    <row r="257" spans="2:3" x14ac:dyDescent="0.25">
      <c r="B257">
        <v>250</v>
      </c>
      <c r="C257">
        <v>443.45794142023766</v>
      </c>
    </row>
    <row r="258" spans="2:3" x14ac:dyDescent="0.25">
      <c r="B258">
        <v>251</v>
      </c>
      <c r="C258">
        <v>439.27082264768131</v>
      </c>
    </row>
    <row r="259" spans="2:3" x14ac:dyDescent="0.25">
      <c r="B259">
        <v>252</v>
      </c>
      <c r="C259">
        <v>443.45794142023766</v>
      </c>
    </row>
    <row r="260" spans="2:3" x14ac:dyDescent="0.25">
      <c r="B260">
        <v>253</v>
      </c>
      <c r="C260">
        <v>439.27082264768131</v>
      </c>
    </row>
    <row r="261" spans="2:3" x14ac:dyDescent="0.25">
      <c r="B261">
        <v>254</v>
      </c>
      <c r="C261">
        <v>443.45794142023766</v>
      </c>
    </row>
    <row r="262" spans="2:3" x14ac:dyDescent="0.25">
      <c r="B262">
        <v>255</v>
      </c>
      <c r="C262">
        <v>439.27082264768131</v>
      </c>
    </row>
    <row r="263" spans="2:3" x14ac:dyDescent="0.25">
      <c r="B263">
        <v>256</v>
      </c>
      <c r="C263">
        <v>443.45794142023766</v>
      </c>
    </row>
    <row r="264" spans="2:3" x14ac:dyDescent="0.25">
      <c r="B264">
        <v>257</v>
      </c>
      <c r="C264">
        <v>439.27082264768131</v>
      </c>
    </row>
    <row r="265" spans="2:3" x14ac:dyDescent="0.25">
      <c r="B265">
        <v>258</v>
      </c>
      <c r="C265">
        <v>443.45794142023766</v>
      </c>
    </row>
    <row r="266" spans="2:3" x14ac:dyDescent="0.25">
      <c r="B266">
        <v>259</v>
      </c>
      <c r="C266">
        <v>439.27082264768131</v>
      </c>
    </row>
    <row r="267" spans="2:3" x14ac:dyDescent="0.25">
      <c r="B267">
        <v>260</v>
      </c>
      <c r="C267">
        <v>443.45794142023766</v>
      </c>
    </row>
    <row r="268" spans="2:3" x14ac:dyDescent="0.25">
      <c r="B268">
        <v>261</v>
      </c>
      <c r="C268">
        <v>439.27082264768131</v>
      </c>
    </row>
    <row r="269" spans="2:3" x14ac:dyDescent="0.25">
      <c r="B269">
        <v>262</v>
      </c>
      <c r="C269">
        <v>443.45794142023766</v>
      </c>
    </row>
    <row r="270" spans="2:3" x14ac:dyDescent="0.25">
      <c r="B270">
        <v>263</v>
      </c>
      <c r="C270">
        <v>439.27082264768131</v>
      </c>
    </row>
    <row r="271" spans="2:3" x14ac:dyDescent="0.25">
      <c r="B271">
        <v>264</v>
      </c>
      <c r="C271">
        <v>443.45794142023766</v>
      </c>
    </row>
    <row r="272" spans="2:3" x14ac:dyDescent="0.25">
      <c r="B272">
        <v>265</v>
      </c>
      <c r="C272">
        <v>439.27082264768131</v>
      </c>
    </row>
    <row r="273" spans="2:3" x14ac:dyDescent="0.25">
      <c r="B273">
        <v>266</v>
      </c>
      <c r="C273">
        <v>443.45794142023766</v>
      </c>
    </row>
    <row r="274" spans="2:3" x14ac:dyDescent="0.25">
      <c r="B274">
        <v>267</v>
      </c>
      <c r="C274">
        <v>439.27082264768131</v>
      </c>
    </row>
    <row r="275" spans="2:3" x14ac:dyDescent="0.25">
      <c r="B275">
        <v>268</v>
      </c>
      <c r="C275">
        <v>443.45794142023766</v>
      </c>
    </row>
    <row r="276" spans="2:3" x14ac:dyDescent="0.25">
      <c r="B276">
        <v>269</v>
      </c>
      <c r="C276">
        <v>439.27082264768131</v>
      </c>
    </row>
    <row r="277" spans="2:3" x14ac:dyDescent="0.25">
      <c r="B277">
        <v>270</v>
      </c>
      <c r="C277">
        <v>443.45794142023766</v>
      </c>
    </row>
    <row r="278" spans="2:3" x14ac:dyDescent="0.25">
      <c r="B278">
        <v>271</v>
      </c>
      <c r="C278">
        <v>439.27082264768131</v>
      </c>
    </row>
    <row r="279" spans="2:3" x14ac:dyDescent="0.25">
      <c r="B279">
        <v>272</v>
      </c>
      <c r="C279">
        <v>443.45794142023766</v>
      </c>
    </row>
    <row r="280" spans="2:3" x14ac:dyDescent="0.25">
      <c r="B280">
        <v>273</v>
      </c>
      <c r="C280">
        <v>439.27082264768131</v>
      </c>
    </row>
    <row r="281" spans="2:3" x14ac:dyDescent="0.25">
      <c r="B281">
        <v>274</v>
      </c>
      <c r="C281">
        <v>443.45794142023766</v>
      </c>
    </row>
    <row r="282" spans="2:3" x14ac:dyDescent="0.25">
      <c r="B282">
        <v>275</v>
      </c>
      <c r="C282">
        <v>439.27082264768131</v>
      </c>
    </row>
    <row r="283" spans="2:3" x14ac:dyDescent="0.25">
      <c r="B283">
        <v>276</v>
      </c>
      <c r="C283">
        <v>443.45794142023766</v>
      </c>
    </row>
    <row r="284" spans="2:3" x14ac:dyDescent="0.25">
      <c r="B284">
        <v>277</v>
      </c>
      <c r="C284">
        <v>439.27082264768131</v>
      </c>
    </row>
    <row r="285" spans="2:3" x14ac:dyDescent="0.25">
      <c r="B285">
        <v>278</v>
      </c>
      <c r="C285">
        <v>443.45794142023766</v>
      </c>
    </row>
    <row r="286" spans="2:3" x14ac:dyDescent="0.25">
      <c r="B286">
        <v>279</v>
      </c>
      <c r="C286">
        <v>439.27082264768131</v>
      </c>
    </row>
    <row r="287" spans="2:3" x14ac:dyDescent="0.25">
      <c r="B287">
        <v>280</v>
      </c>
      <c r="C287">
        <v>443.45794142023766</v>
      </c>
    </row>
    <row r="288" spans="2:3" x14ac:dyDescent="0.25">
      <c r="B288">
        <v>281</v>
      </c>
      <c r="C288">
        <v>439.27082264768131</v>
      </c>
    </row>
    <row r="289" spans="2:3" x14ac:dyDescent="0.25">
      <c r="B289">
        <v>282</v>
      </c>
      <c r="C289">
        <v>443.45794142023766</v>
      </c>
    </row>
    <row r="290" spans="2:3" x14ac:dyDescent="0.25">
      <c r="B290">
        <v>283</v>
      </c>
      <c r="C290">
        <v>439.27082264768131</v>
      </c>
    </row>
    <row r="291" spans="2:3" x14ac:dyDescent="0.25">
      <c r="B291">
        <v>284</v>
      </c>
      <c r="C291">
        <v>443.45794142023766</v>
      </c>
    </row>
    <row r="292" spans="2:3" x14ac:dyDescent="0.25">
      <c r="B292">
        <v>285</v>
      </c>
      <c r="C292">
        <v>439.27082264768131</v>
      </c>
    </row>
    <row r="293" spans="2:3" x14ac:dyDescent="0.25">
      <c r="B293">
        <v>286</v>
      </c>
      <c r="C293">
        <v>435.12323854567194</v>
      </c>
    </row>
    <row r="294" spans="2:3" x14ac:dyDescent="0.25">
      <c r="B294">
        <v>287</v>
      </c>
      <c r="C294">
        <v>439.27082264768131</v>
      </c>
    </row>
    <row r="295" spans="2:3" x14ac:dyDescent="0.25">
      <c r="B295">
        <v>288</v>
      </c>
      <c r="C295">
        <v>435.12323854567194</v>
      </c>
    </row>
    <row r="296" spans="2:3" x14ac:dyDescent="0.25">
      <c r="B296">
        <v>289</v>
      </c>
      <c r="C296">
        <v>439.27082264768131</v>
      </c>
    </row>
    <row r="297" spans="2:3" x14ac:dyDescent="0.25">
      <c r="B297">
        <v>290</v>
      </c>
      <c r="C297">
        <v>435.12323854567194</v>
      </c>
    </row>
    <row r="298" spans="2:3" x14ac:dyDescent="0.25">
      <c r="B298">
        <v>291</v>
      </c>
      <c r="C298">
        <v>439.27082264768131</v>
      </c>
    </row>
    <row r="299" spans="2:3" x14ac:dyDescent="0.25">
      <c r="B299">
        <v>292</v>
      </c>
      <c r="C299">
        <v>435.12323854567194</v>
      </c>
    </row>
    <row r="300" spans="2:3" x14ac:dyDescent="0.25">
      <c r="B300">
        <v>293</v>
      </c>
      <c r="C300">
        <v>439.27082264768131</v>
      </c>
    </row>
    <row r="301" spans="2:3" x14ac:dyDescent="0.25">
      <c r="B301">
        <v>294</v>
      </c>
      <c r="C301">
        <v>435.12323854567194</v>
      </c>
    </row>
    <row r="302" spans="2:3" x14ac:dyDescent="0.25">
      <c r="B302">
        <v>295</v>
      </c>
      <c r="C302">
        <v>439.27082264768131</v>
      </c>
    </row>
    <row r="303" spans="2:3" x14ac:dyDescent="0.25">
      <c r="B303">
        <v>296</v>
      </c>
      <c r="C303">
        <v>435.12323854567194</v>
      </c>
    </row>
    <row r="304" spans="2:3" x14ac:dyDescent="0.25">
      <c r="B304">
        <v>297</v>
      </c>
      <c r="C304">
        <v>439.27082264768131</v>
      </c>
    </row>
    <row r="305" spans="2:3" x14ac:dyDescent="0.25">
      <c r="B305">
        <v>298</v>
      </c>
      <c r="C305">
        <v>435.12323854567194</v>
      </c>
    </row>
    <row r="306" spans="2:3" x14ac:dyDescent="0.25">
      <c r="B306">
        <v>299</v>
      </c>
      <c r="C306">
        <v>439.27082264768131</v>
      </c>
    </row>
    <row r="307" spans="2:3" x14ac:dyDescent="0.25">
      <c r="B307">
        <v>300</v>
      </c>
      <c r="C307">
        <v>435.12323854567194</v>
      </c>
    </row>
    <row r="308" spans="2:3" x14ac:dyDescent="0.25">
      <c r="B308">
        <v>301</v>
      </c>
      <c r="C308">
        <v>439.27082264768131</v>
      </c>
    </row>
    <row r="309" spans="2:3" x14ac:dyDescent="0.25">
      <c r="B309">
        <v>302</v>
      </c>
      <c r="C309">
        <v>435.12323854567194</v>
      </c>
    </row>
    <row r="310" spans="2:3" x14ac:dyDescent="0.25">
      <c r="B310">
        <v>303</v>
      </c>
      <c r="C310">
        <v>439.27082264768131</v>
      </c>
    </row>
    <row r="311" spans="2:3" x14ac:dyDescent="0.25">
      <c r="B311">
        <v>304</v>
      </c>
      <c r="C311">
        <v>435.12323854567194</v>
      </c>
    </row>
    <row r="312" spans="2:3" x14ac:dyDescent="0.25">
      <c r="B312">
        <v>305</v>
      </c>
      <c r="C312">
        <v>439.27082264768131</v>
      </c>
    </row>
    <row r="313" spans="2:3" x14ac:dyDescent="0.25">
      <c r="B313">
        <v>306</v>
      </c>
      <c r="C313">
        <v>435.12323854567194</v>
      </c>
    </row>
    <row r="314" spans="2:3" x14ac:dyDescent="0.25">
      <c r="B314">
        <v>307</v>
      </c>
      <c r="C314">
        <v>439.27082264768131</v>
      </c>
    </row>
    <row r="315" spans="2:3" x14ac:dyDescent="0.25">
      <c r="B315">
        <v>308</v>
      </c>
      <c r="C315">
        <v>435.12323854567194</v>
      </c>
    </row>
    <row r="316" spans="2:3" x14ac:dyDescent="0.25">
      <c r="B316">
        <v>309</v>
      </c>
      <c r="C316">
        <v>439.27082264768131</v>
      </c>
    </row>
    <row r="317" spans="2:3" x14ac:dyDescent="0.25">
      <c r="B317">
        <v>310</v>
      </c>
      <c r="C317">
        <v>435.12323854567194</v>
      </c>
    </row>
    <row r="318" spans="2:3" x14ac:dyDescent="0.25">
      <c r="B318">
        <v>311</v>
      </c>
      <c r="C318">
        <v>439.27082264768131</v>
      </c>
    </row>
    <row r="319" spans="2:3" x14ac:dyDescent="0.25">
      <c r="B319">
        <v>312</v>
      </c>
      <c r="C319">
        <v>435.12323854567194</v>
      </c>
    </row>
    <row r="320" spans="2:3" x14ac:dyDescent="0.25">
      <c r="B320">
        <v>313</v>
      </c>
      <c r="C320">
        <v>439.27082264768131</v>
      </c>
    </row>
    <row r="321" spans="2:3" x14ac:dyDescent="0.25">
      <c r="B321">
        <v>314</v>
      </c>
      <c r="C321">
        <v>435.12323854567194</v>
      </c>
    </row>
    <row r="322" spans="2:3" x14ac:dyDescent="0.25">
      <c r="B322">
        <v>315</v>
      </c>
      <c r="C322">
        <v>439.27082264768131</v>
      </c>
    </row>
    <row r="323" spans="2:3" x14ac:dyDescent="0.25">
      <c r="B323">
        <v>316</v>
      </c>
      <c r="C323">
        <v>435.12323854567194</v>
      </c>
    </row>
    <row r="324" spans="2:3" x14ac:dyDescent="0.25">
      <c r="B324">
        <v>317</v>
      </c>
      <c r="C324">
        <v>439.27082264768131</v>
      </c>
    </row>
    <row r="325" spans="2:3" x14ac:dyDescent="0.25">
      <c r="B325">
        <v>318</v>
      </c>
      <c r="C325">
        <v>435.12323854567194</v>
      </c>
    </row>
    <row r="326" spans="2:3" x14ac:dyDescent="0.25">
      <c r="B326">
        <v>319</v>
      </c>
      <c r="C326">
        <v>439.27082264768131</v>
      </c>
    </row>
    <row r="327" spans="2:3" x14ac:dyDescent="0.25">
      <c r="B327">
        <v>320</v>
      </c>
      <c r="C327">
        <v>435.12323854567194</v>
      </c>
    </row>
    <row r="328" spans="2:3" x14ac:dyDescent="0.25">
      <c r="B328">
        <v>321</v>
      </c>
      <c r="C328">
        <v>439.27082264768131</v>
      </c>
    </row>
    <row r="329" spans="2:3" x14ac:dyDescent="0.25">
      <c r="B329">
        <v>322</v>
      </c>
      <c r="C329">
        <v>435.12323854567194</v>
      </c>
    </row>
    <row r="330" spans="2:3" x14ac:dyDescent="0.25">
      <c r="B330">
        <v>323</v>
      </c>
      <c r="C330">
        <v>439.27082264768131</v>
      </c>
    </row>
    <row r="331" spans="2:3" x14ac:dyDescent="0.25">
      <c r="B331">
        <v>324</v>
      </c>
      <c r="C331">
        <v>435.12323854567194</v>
      </c>
    </row>
    <row r="332" spans="2:3" x14ac:dyDescent="0.25">
      <c r="B332">
        <v>325</v>
      </c>
      <c r="C332">
        <v>439.27082264768131</v>
      </c>
    </row>
    <row r="333" spans="2:3" x14ac:dyDescent="0.25">
      <c r="B333">
        <v>326</v>
      </c>
      <c r="C333">
        <v>435.12323854567194</v>
      </c>
    </row>
    <row r="334" spans="2:3" x14ac:dyDescent="0.25">
      <c r="B334">
        <v>327</v>
      </c>
      <c r="C334">
        <v>439.27082264768131</v>
      </c>
    </row>
    <row r="335" spans="2:3" x14ac:dyDescent="0.25">
      <c r="B335">
        <v>328</v>
      </c>
      <c r="C335">
        <v>435.12323854567194</v>
      </c>
    </row>
    <row r="336" spans="2:3" x14ac:dyDescent="0.25">
      <c r="B336">
        <v>329</v>
      </c>
      <c r="C336">
        <v>431.01481582884082</v>
      </c>
    </row>
    <row r="337" spans="2:3" x14ac:dyDescent="0.25">
      <c r="B337">
        <v>330</v>
      </c>
      <c r="C337">
        <v>435.12323854567194</v>
      </c>
    </row>
    <row r="338" spans="2:3" x14ac:dyDescent="0.25">
      <c r="B338">
        <v>331</v>
      </c>
      <c r="C338">
        <v>431.01481582884082</v>
      </c>
    </row>
    <row r="339" spans="2:3" x14ac:dyDescent="0.25">
      <c r="B339">
        <v>332</v>
      </c>
      <c r="C339">
        <v>435.12323854567194</v>
      </c>
    </row>
    <row r="340" spans="2:3" x14ac:dyDescent="0.25">
      <c r="B340">
        <v>333</v>
      </c>
      <c r="C340">
        <v>431.01481582884082</v>
      </c>
    </row>
    <row r="341" spans="2:3" x14ac:dyDescent="0.25">
      <c r="B341">
        <v>334</v>
      </c>
      <c r="C341">
        <v>435.12323854567194</v>
      </c>
    </row>
    <row r="342" spans="2:3" x14ac:dyDescent="0.25">
      <c r="B342">
        <v>335</v>
      </c>
      <c r="C342">
        <v>431.01481582884082</v>
      </c>
    </row>
    <row r="343" spans="2:3" x14ac:dyDescent="0.25">
      <c r="B343">
        <v>336</v>
      </c>
      <c r="C343">
        <v>435.12323854567194</v>
      </c>
    </row>
    <row r="344" spans="2:3" x14ac:dyDescent="0.25">
      <c r="B344">
        <v>337</v>
      </c>
      <c r="C344">
        <v>431.01481582884082</v>
      </c>
    </row>
    <row r="345" spans="2:3" x14ac:dyDescent="0.25">
      <c r="B345">
        <v>338</v>
      </c>
      <c r="C345">
        <v>435.12323854567194</v>
      </c>
    </row>
    <row r="346" spans="2:3" x14ac:dyDescent="0.25">
      <c r="B346">
        <v>339</v>
      </c>
      <c r="C346">
        <v>431.01481582884082</v>
      </c>
    </row>
    <row r="347" spans="2:3" x14ac:dyDescent="0.25">
      <c r="B347">
        <v>340</v>
      </c>
      <c r="C347">
        <v>435.12323854567194</v>
      </c>
    </row>
    <row r="348" spans="2:3" x14ac:dyDescent="0.25">
      <c r="B348">
        <v>341</v>
      </c>
      <c r="C348">
        <v>431.01481582884082</v>
      </c>
    </row>
    <row r="349" spans="2:3" x14ac:dyDescent="0.25">
      <c r="B349">
        <v>342</v>
      </c>
      <c r="C349">
        <v>435.12323854567194</v>
      </c>
    </row>
    <row r="350" spans="2:3" x14ac:dyDescent="0.25">
      <c r="B350">
        <v>343</v>
      </c>
      <c r="C350">
        <v>431.01481582884082</v>
      </c>
    </row>
    <row r="351" spans="2:3" x14ac:dyDescent="0.25">
      <c r="B351">
        <v>344</v>
      </c>
      <c r="C351">
        <v>435.12323854567194</v>
      </c>
    </row>
    <row r="352" spans="2:3" x14ac:dyDescent="0.25">
      <c r="B352">
        <v>345</v>
      </c>
      <c r="C352">
        <v>431.01481582884082</v>
      </c>
    </row>
    <row r="353" spans="2:3" x14ac:dyDescent="0.25">
      <c r="B353">
        <v>346</v>
      </c>
      <c r="C353">
        <v>435.12323854567194</v>
      </c>
    </row>
    <row r="354" spans="2:3" x14ac:dyDescent="0.25">
      <c r="B354">
        <v>347</v>
      </c>
      <c r="C354">
        <v>431.01481582884082</v>
      </c>
    </row>
    <row r="355" spans="2:3" x14ac:dyDescent="0.25">
      <c r="B355">
        <v>348</v>
      </c>
      <c r="C355">
        <v>435.12323854567194</v>
      </c>
    </row>
    <row r="356" spans="2:3" x14ac:dyDescent="0.25">
      <c r="B356">
        <v>349</v>
      </c>
      <c r="C356">
        <v>431.01481582884082</v>
      </c>
    </row>
    <row r="357" spans="2:3" x14ac:dyDescent="0.25">
      <c r="B357">
        <v>350</v>
      </c>
      <c r="C357">
        <v>435.12323854567194</v>
      </c>
    </row>
    <row r="358" spans="2:3" x14ac:dyDescent="0.25">
      <c r="B358">
        <v>351</v>
      </c>
      <c r="C358">
        <v>431.01481582884082</v>
      </c>
    </row>
    <row r="359" spans="2:3" x14ac:dyDescent="0.25">
      <c r="B359">
        <v>352</v>
      </c>
      <c r="C359">
        <v>435.12323854567194</v>
      </c>
    </row>
    <row r="360" spans="2:3" x14ac:dyDescent="0.25">
      <c r="B360">
        <v>353</v>
      </c>
      <c r="C360">
        <v>431.01481582884082</v>
      </c>
    </row>
    <row r="361" spans="2:3" x14ac:dyDescent="0.25">
      <c r="B361">
        <v>354</v>
      </c>
      <c r="C361">
        <v>435.12323854567194</v>
      </c>
    </row>
    <row r="362" spans="2:3" x14ac:dyDescent="0.25">
      <c r="B362">
        <v>355</v>
      </c>
      <c r="C362">
        <v>431.01481582884082</v>
      </c>
    </row>
    <row r="363" spans="2:3" x14ac:dyDescent="0.25">
      <c r="B363">
        <v>356</v>
      </c>
      <c r="C363">
        <v>435.12323854567194</v>
      </c>
    </row>
    <row r="364" spans="2:3" x14ac:dyDescent="0.25">
      <c r="B364">
        <v>357</v>
      </c>
      <c r="C364">
        <v>431.01481582884082</v>
      </c>
    </row>
    <row r="365" spans="2:3" x14ac:dyDescent="0.25">
      <c r="B365">
        <v>358</v>
      </c>
      <c r="C365">
        <v>435.12323854567194</v>
      </c>
    </row>
    <row r="366" spans="2:3" x14ac:dyDescent="0.25">
      <c r="B366">
        <v>359</v>
      </c>
      <c r="C366">
        <v>431.01481582884082</v>
      </c>
    </row>
    <row r="367" spans="2:3" x14ac:dyDescent="0.25">
      <c r="B367">
        <v>360</v>
      </c>
      <c r="C367">
        <v>435.12323854567194</v>
      </c>
    </row>
    <row r="368" spans="2:3" x14ac:dyDescent="0.25">
      <c r="B368">
        <v>361</v>
      </c>
      <c r="C368">
        <v>431.01481582884082</v>
      </c>
    </row>
    <row r="369" spans="2:3" x14ac:dyDescent="0.25">
      <c r="B369">
        <v>362</v>
      </c>
      <c r="C369">
        <v>435.12323854567194</v>
      </c>
    </row>
    <row r="370" spans="2:3" x14ac:dyDescent="0.25">
      <c r="B370">
        <v>363</v>
      </c>
      <c r="C370">
        <v>431.01481582884082</v>
      </c>
    </row>
    <row r="371" spans="2:3" x14ac:dyDescent="0.25">
      <c r="B371">
        <v>364</v>
      </c>
      <c r="C371">
        <v>435.12323854567194</v>
      </c>
    </row>
    <row r="372" spans="2:3" x14ac:dyDescent="0.25">
      <c r="B372">
        <v>365</v>
      </c>
      <c r="C372">
        <v>431.01481582884082</v>
      </c>
    </row>
    <row r="373" spans="2:3" x14ac:dyDescent="0.25">
      <c r="B373">
        <v>366</v>
      </c>
      <c r="C373">
        <v>435.12323854567194</v>
      </c>
    </row>
    <row r="374" spans="2:3" x14ac:dyDescent="0.25">
      <c r="B374">
        <v>367</v>
      </c>
      <c r="C374">
        <v>431.01481582884082</v>
      </c>
    </row>
    <row r="375" spans="2:3" x14ac:dyDescent="0.25">
      <c r="B375">
        <v>368</v>
      </c>
      <c r="C375">
        <v>426.94518473637009</v>
      </c>
    </row>
    <row r="376" spans="2:3" x14ac:dyDescent="0.25">
      <c r="B376">
        <v>369</v>
      </c>
      <c r="C376">
        <v>431.01481582884082</v>
      </c>
    </row>
    <row r="377" spans="2:3" x14ac:dyDescent="0.25">
      <c r="B377">
        <v>370</v>
      </c>
      <c r="C377">
        <v>426.94518473637009</v>
      </c>
    </row>
    <row r="378" spans="2:3" x14ac:dyDescent="0.25">
      <c r="B378">
        <v>371</v>
      </c>
      <c r="C378">
        <v>431.01481582884082</v>
      </c>
    </row>
    <row r="379" spans="2:3" x14ac:dyDescent="0.25">
      <c r="B379">
        <v>372</v>
      </c>
      <c r="C379">
        <v>426.94518473637009</v>
      </c>
    </row>
    <row r="380" spans="2:3" x14ac:dyDescent="0.25">
      <c r="B380">
        <v>373</v>
      </c>
      <c r="C380">
        <v>431.01481582884082</v>
      </c>
    </row>
    <row r="381" spans="2:3" x14ac:dyDescent="0.25">
      <c r="B381">
        <v>374</v>
      </c>
      <c r="C381">
        <v>426.94518473637009</v>
      </c>
    </row>
    <row r="382" spans="2:3" x14ac:dyDescent="0.25">
      <c r="B382">
        <v>375</v>
      </c>
      <c r="C382">
        <v>431.01481582884082</v>
      </c>
    </row>
    <row r="383" spans="2:3" x14ac:dyDescent="0.25">
      <c r="B383">
        <v>376</v>
      </c>
      <c r="C383">
        <v>426.94518473637009</v>
      </c>
    </row>
    <row r="384" spans="2:3" x14ac:dyDescent="0.25">
      <c r="B384">
        <v>377</v>
      </c>
      <c r="C384">
        <v>431.01481582884082</v>
      </c>
    </row>
    <row r="385" spans="2:3" x14ac:dyDescent="0.25">
      <c r="B385">
        <v>378</v>
      </c>
      <c r="C385">
        <v>426.94518473637009</v>
      </c>
    </row>
    <row r="386" spans="2:3" x14ac:dyDescent="0.25">
      <c r="B386">
        <v>379</v>
      </c>
      <c r="C386">
        <v>431.01481582884082</v>
      </c>
    </row>
    <row r="387" spans="2:3" x14ac:dyDescent="0.25">
      <c r="B387">
        <v>380</v>
      </c>
      <c r="C387">
        <v>426.94518473637009</v>
      </c>
    </row>
    <row r="388" spans="2:3" x14ac:dyDescent="0.25">
      <c r="B388">
        <v>381</v>
      </c>
      <c r="C388">
        <v>431.01481582884082</v>
      </c>
    </row>
    <row r="389" spans="2:3" x14ac:dyDescent="0.25">
      <c r="B389">
        <v>382</v>
      </c>
      <c r="C389">
        <v>426.94518473637009</v>
      </c>
    </row>
    <row r="390" spans="2:3" x14ac:dyDescent="0.25">
      <c r="B390">
        <v>383</v>
      </c>
      <c r="C390">
        <v>431.01481582884082</v>
      </c>
    </row>
    <row r="391" spans="2:3" x14ac:dyDescent="0.25">
      <c r="B391">
        <v>384</v>
      </c>
      <c r="C391">
        <v>426.94518473637009</v>
      </c>
    </row>
    <row r="392" spans="2:3" x14ac:dyDescent="0.25">
      <c r="B392">
        <v>385</v>
      </c>
      <c r="C392">
        <v>431.01481582884082</v>
      </c>
    </row>
    <row r="393" spans="2:3" x14ac:dyDescent="0.25">
      <c r="B393">
        <v>386</v>
      </c>
      <c r="C393">
        <v>426.94518473637009</v>
      </c>
    </row>
    <row r="394" spans="2:3" x14ac:dyDescent="0.25">
      <c r="B394">
        <v>387</v>
      </c>
      <c r="C394">
        <v>431.01481582884082</v>
      </c>
    </row>
    <row r="395" spans="2:3" x14ac:dyDescent="0.25">
      <c r="B395">
        <v>388</v>
      </c>
      <c r="C395">
        <v>426.94518473637009</v>
      </c>
    </row>
    <row r="396" spans="2:3" x14ac:dyDescent="0.25">
      <c r="B396">
        <v>389</v>
      </c>
      <c r="C396">
        <v>431.01481582884082</v>
      </c>
    </row>
    <row r="397" spans="2:3" x14ac:dyDescent="0.25">
      <c r="B397">
        <v>390</v>
      </c>
      <c r="C397">
        <v>426.94518473637009</v>
      </c>
    </row>
    <row r="398" spans="2:3" x14ac:dyDescent="0.25">
      <c r="B398">
        <v>391</v>
      </c>
      <c r="C398">
        <v>431.01481582884082</v>
      </c>
    </row>
    <row r="399" spans="2:3" x14ac:dyDescent="0.25">
      <c r="B399">
        <v>392</v>
      </c>
      <c r="C399">
        <v>426.94518473637009</v>
      </c>
    </row>
    <row r="400" spans="2:3" x14ac:dyDescent="0.25">
      <c r="B400">
        <v>393</v>
      </c>
      <c r="C400">
        <v>431.01481582884082</v>
      </c>
    </row>
    <row r="401" spans="2:3" x14ac:dyDescent="0.25">
      <c r="B401">
        <v>394</v>
      </c>
      <c r="C401">
        <v>426.94518473637009</v>
      </c>
    </row>
    <row r="402" spans="2:3" x14ac:dyDescent="0.25">
      <c r="B402">
        <v>395</v>
      </c>
      <c r="C402">
        <v>431.01481582884082</v>
      </c>
    </row>
    <row r="403" spans="2:3" x14ac:dyDescent="0.25">
      <c r="B403">
        <v>396</v>
      </c>
      <c r="C403">
        <v>426.94518473637009</v>
      </c>
    </row>
    <row r="404" spans="2:3" x14ac:dyDescent="0.25">
      <c r="B404">
        <v>397</v>
      </c>
      <c r="C404">
        <v>431.01481582884082</v>
      </c>
    </row>
    <row r="405" spans="2:3" x14ac:dyDescent="0.25">
      <c r="B405">
        <v>398</v>
      </c>
      <c r="C405">
        <v>426.94518473637009</v>
      </c>
    </row>
    <row r="406" spans="2:3" x14ac:dyDescent="0.25">
      <c r="B406">
        <v>399</v>
      </c>
      <c r="C406">
        <v>431.01481582884082</v>
      </c>
    </row>
    <row r="407" spans="2:3" x14ac:dyDescent="0.25">
      <c r="B407">
        <v>400</v>
      </c>
      <c r="C407">
        <v>426.94518473637009</v>
      </c>
    </row>
    <row r="408" spans="2:3" x14ac:dyDescent="0.25">
      <c r="B408">
        <v>401</v>
      </c>
      <c r="C408">
        <v>431.01481582884082</v>
      </c>
    </row>
    <row r="409" spans="2:3" x14ac:dyDescent="0.25">
      <c r="B409">
        <v>402</v>
      </c>
      <c r="C409">
        <v>426.94518473637009</v>
      </c>
    </row>
    <row r="410" spans="2:3" x14ac:dyDescent="0.25">
      <c r="B410">
        <v>403</v>
      </c>
      <c r="C410">
        <v>422.91397899871458</v>
      </c>
    </row>
    <row r="411" spans="2:3" x14ac:dyDescent="0.25">
      <c r="B411">
        <v>404</v>
      </c>
      <c r="C411">
        <v>426.94518473637009</v>
      </c>
    </row>
    <row r="412" spans="2:3" x14ac:dyDescent="0.25">
      <c r="B412">
        <v>405</v>
      </c>
      <c r="C412">
        <v>422.91397899871458</v>
      </c>
    </row>
    <row r="413" spans="2:3" x14ac:dyDescent="0.25">
      <c r="B413">
        <v>406</v>
      </c>
      <c r="C413">
        <v>426.94518473637009</v>
      </c>
    </row>
    <row r="414" spans="2:3" x14ac:dyDescent="0.25">
      <c r="B414">
        <v>407</v>
      </c>
      <c r="C414">
        <v>422.91397899871458</v>
      </c>
    </row>
    <row r="415" spans="2:3" x14ac:dyDescent="0.25">
      <c r="B415">
        <v>408</v>
      </c>
      <c r="C415">
        <v>426.94518473637009</v>
      </c>
    </row>
    <row r="416" spans="2:3" x14ac:dyDescent="0.25">
      <c r="B416">
        <v>409</v>
      </c>
      <c r="C416">
        <v>422.91397899871458</v>
      </c>
    </row>
    <row r="417" spans="2:3" x14ac:dyDescent="0.25">
      <c r="B417">
        <v>410</v>
      </c>
      <c r="C417">
        <v>426.94518473637009</v>
      </c>
    </row>
    <row r="418" spans="2:3" x14ac:dyDescent="0.25">
      <c r="B418">
        <v>411</v>
      </c>
      <c r="C418">
        <v>422.91397899871458</v>
      </c>
    </row>
    <row r="419" spans="2:3" x14ac:dyDescent="0.25">
      <c r="B419">
        <v>412</v>
      </c>
      <c r="C419">
        <v>426.94518473637009</v>
      </c>
    </row>
    <row r="420" spans="2:3" x14ac:dyDescent="0.25">
      <c r="B420">
        <v>413</v>
      </c>
      <c r="C420">
        <v>422.91397899871458</v>
      </c>
    </row>
    <row r="421" spans="2:3" x14ac:dyDescent="0.25">
      <c r="B421">
        <v>414</v>
      </c>
      <c r="C421">
        <v>426.94518473637009</v>
      </c>
    </row>
    <row r="422" spans="2:3" x14ac:dyDescent="0.25">
      <c r="B422">
        <v>415</v>
      </c>
      <c r="C422">
        <v>422.91397899871458</v>
      </c>
    </row>
    <row r="423" spans="2:3" x14ac:dyDescent="0.25">
      <c r="B423">
        <v>416</v>
      </c>
      <c r="C423">
        <v>426.94518473637009</v>
      </c>
    </row>
    <row r="424" spans="2:3" x14ac:dyDescent="0.25">
      <c r="B424">
        <v>417</v>
      </c>
      <c r="C424">
        <v>422.91397899871458</v>
      </c>
    </row>
    <row r="425" spans="2:3" x14ac:dyDescent="0.25">
      <c r="B425">
        <v>418</v>
      </c>
      <c r="C425">
        <v>426.94518473637009</v>
      </c>
    </row>
    <row r="426" spans="2:3" x14ac:dyDescent="0.25">
      <c r="B426">
        <v>419</v>
      </c>
      <c r="C426">
        <v>422.91397899871458</v>
      </c>
    </row>
    <row r="427" spans="2:3" x14ac:dyDescent="0.25">
      <c r="B427">
        <v>420</v>
      </c>
      <c r="C427">
        <v>426.94518473637009</v>
      </c>
    </row>
    <row r="428" spans="2:3" x14ac:dyDescent="0.25">
      <c r="B428">
        <v>421</v>
      </c>
      <c r="C428">
        <v>422.91397899871458</v>
      </c>
    </row>
    <row r="429" spans="2:3" x14ac:dyDescent="0.25">
      <c r="B429">
        <v>422</v>
      </c>
      <c r="C429">
        <v>426.94518473637009</v>
      </c>
    </row>
    <row r="430" spans="2:3" x14ac:dyDescent="0.25">
      <c r="B430">
        <v>423</v>
      </c>
      <c r="C430">
        <v>422.91397899871458</v>
      </c>
    </row>
    <row r="431" spans="2:3" x14ac:dyDescent="0.25">
      <c r="B431">
        <v>424</v>
      </c>
      <c r="C431">
        <v>426.94518473637009</v>
      </c>
    </row>
    <row r="432" spans="2:3" x14ac:dyDescent="0.25">
      <c r="B432">
        <v>425</v>
      </c>
      <c r="C432">
        <v>422.91397899871458</v>
      </c>
    </row>
    <row r="433" spans="2:3" x14ac:dyDescent="0.25">
      <c r="B433">
        <v>426</v>
      </c>
      <c r="C433">
        <v>426.94518473637009</v>
      </c>
    </row>
    <row r="434" spans="2:3" x14ac:dyDescent="0.25">
      <c r="B434">
        <v>427</v>
      </c>
      <c r="C434">
        <v>422.91397899871458</v>
      </c>
    </row>
    <row r="435" spans="2:3" x14ac:dyDescent="0.25">
      <c r="B435">
        <v>428</v>
      </c>
      <c r="C435">
        <v>426.94518473637009</v>
      </c>
    </row>
    <row r="436" spans="2:3" x14ac:dyDescent="0.25">
      <c r="B436">
        <v>429</v>
      </c>
      <c r="C436">
        <v>422.91397899871458</v>
      </c>
    </row>
    <row r="437" spans="2:3" x14ac:dyDescent="0.25">
      <c r="B437">
        <v>430</v>
      </c>
      <c r="C437">
        <v>426.94518473637009</v>
      </c>
    </row>
    <row r="438" spans="2:3" x14ac:dyDescent="0.25">
      <c r="B438">
        <v>431</v>
      </c>
      <c r="C438">
        <v>422.91397899871458</v>
      </c>
    </row>
    <row r="439" spans="2:3" x14ac:dyDescent="0.25">
      <c r="B439">
        <v>432</v>
      </c>
      <c r="C439">
        <v>418.92083580463674</v>
      </c>
    </row>
    <row r="440" spans="2:3" x14ac:dyDescent="0.25">
      <c r="B440">
        <v>433</v>
      </c>
      <c r="C440">
        <v>422.91397899871458</v>
      </c>
    </row>
    <row r="441" spans="2:3" x14ac:dyDescent="0.25">
      <c r="B441">
        <v>434</v>
      </c>
      <c r="C441">
        <v>418.92083580463674</v>
      </c>
    </row>
    <row r="442" spans="2:3" x14ac:dyDescent="0.25">
      <c r="B442">
        <v>435</v>
      </c>
      <c r="C442">
        <v>422.91397899871458</v>
      </c>
    </row>
    <row r="443" spans="2:3" x14ac:dyDescent="0.25">
      <c r="B443">
        <v>436</v>
      </c>
      <c r="C443">
        <v>418.92083580463674</v>
      </c>
    </row>
    <row r="444" spans="2:3" x14ac:dyDescent="0.25">
      <c r="B444">
        <v>437</v>
      </c>
      <c r="C444">
        <v>422.91397899871458</v>
      </c>
    </row>
    <row r="445" spans="2:3" x14ac:dyDescent="0.25">
      <c r="B445">
        <v>438</v>
      </c>
      <c r="C445">
        <v>418.92083580463674</v>
      </c>
    </row>
    <row r="446" spans="2:3" x14ac:dyDescent="0.25">
      <c r="B446">
        <v>439</v>
      </c>
      <c r="C446">
        <v>422.91397899871458</v>
      </c>
    </row>
    <row r="447" spans="2:3" x14ac:dyDescent="0.25">
      <c r="B447">
        <v>440</v>
      </c>
      <c r="C447">
        <v>418.92083580463674</v>
      </c>
    </row>
    <row r="448" spans="2:3" x14ac:dyDescent="0.25">
      <c r="B448">
        <v>441</v>
      </c>
      <c r="C448">
        <v>422.91397899871458</v>
      </c>
    </row>
    <row r="449" spans="2:3" x14ac:dyDescent="0.25">
      <c r="B449">
        <v>442</v>
      </c>
      <c r="C449">
        <v>418.92083580463674</v>
      </c>
    </row>
    <row r="450" spans="2:3" x14ac:dyDescent="0.25">
      <c r="B450">
        <v>443</v>
      </c>
      <c r="C450">
        <v>422.91397899871458</v>
      </c>
    </row>
    <row r="451" spans="2:3" x14ac:dyDescent="0.25">
      <c r="B451">
        <v>444</v>
      </c>
      <c r="C451">
        <v>418.92083580463674</v>
      </c>
    </row>
    <row r="452" spans="2:3" x14ac:dyDescent="0.25">
      <c r="B452">
        <v>445</v>
      </c>
      <c r="C452">
        <v>422.91397899871458</v>
      </c>
    </row>
    <row r="453" spans="2:3" x14ac:dyDescent="0.25">
      <c r="B453">
        <v>446</v>
      </c>
      <c r="C453">
        <v>418.92083580463674</v>
      </c>
    </row>
    <row r="454" spans="2:3" x14ac:dyDescent="0.25">
      <c r="B454">
        <v>447</v>
      </c>
      <c r="C454">
        <v>422.91397899871458</v>
      </c>
    </row>
    <row r="455" spans="2:3" x14ac:dyDescent="0.25">
      <c r="B455">
        <v>448</v>
      </c>
      <c r="C455">
        <v>418.92083580463674</v>
      </c>
    </row>
    <row r="456" spans="2:3" x14ac:dyDescent="0.25">
      <c r="B456">
        <v>449</v>
      </c>
      <c r="C456">
        <v>422.91397899871458</v>
      </c>
    </row>
    <row r="457" spans="2:3" x14ac:dyDescent="0.25">
      <c r="B457">
        <v>450</v>
      </c>
      <c r="C457">
        <v>418.92083580463674</v>
      </c>
    </row>
    <row r="458" spans="2:3" x14ac:dyDescent="0.25">
      <c r="B458">
        <v>451</v>
      </c>
      <c r="C458">
        <v>422.91397899871458</v>
      </c>
    </row>
    <row r="459" spans="2:3" x14ac:dyDescent="0.25">
      <c r="B459">
        <v>452</v>
      </c>
      <c r="C459">
        <v>418.92083580463674</v>
      </c>
    </row>
    <row r="460" spans="2:3" x14ac:dyDescent="0.25">
      <c r="B460">
        <v>453</v>
      </c>
      <c r="C460">
        <v>422.91397899871458</v>
      </c>
    </row>
    <row r="461" spans="2:3" x14ac:dyDescent="0.25">
      <c r="B461">
        <v>454</v>
      </c>
      <c r="C461">
        <v>418.92083580463674</v>
      </c>
    </row>
    <row r="462" spans="2:3" x14ac:dyDescent="0.25">
      <c r="B462">
        <v>455</v>
      </c>
      <c r="C462">
        <v>414.96539576855366</v>
      </c>
    </row>
    <row r="463" spans="2:3" x14ac:dyDescent="0.25">
      <c r="B463">
        <v>456</v>
      </c>
      <c r="C463">
        <v>418.92083580463674</v>
      </c>
    </row>
    <row r="464" spans="2:3" x14ac:dyDescent="0.25">
      <c r="B464">
        <v>457</v>
      </c>
      <c r="C464">
        <v>414.96539576855366</v>
      </c>
    </row>
    <row r="465" spans="2:3" x14ac:dyDescent="0.25">
      <c r="B465">
        <v>458</v>
      </c>
      <c r="C465">
        <v>418.92083580463674</v>
      </c>
    </row>
    <row r="466" spans="2:3" x14ac:dyDescent="0.25">
      <c r="B466">
        <v>459</v>
      </c>
      <c r="C466">
        <v>414.96539576855366</v>
      </c>
    </row>
    <row r="467" spans="2:3" x14ac:dyDescent="0.25">
      <c r="B467">
        <v>460</v>
      </c>
      <c r="C467">
        <v>418.92083580463674</v>
      </c>
    </row>
    <row r="468" spans="2:3" x14ac:dyDescent="0.25">
      <c r="B468">
        <v>461</v>
      </c>
      <c r="C468">
        <v>414.96539576855366</v>
      </c>
    </row>
    <row r="469" spans="2:3" x14ac:dyDescent="0.25">
      <c r="B469">
        <v>462</v>
      </c>
      <c r="C469">
        <v>418.92083580463674</v>
      </c>
    </row>
    <row r="470" spans="2:3" x14ac:dyDescent="0.25">
      <c r="B470">
        <v>463</v>
      </c>
      <c r="C470">
        <v>414.96539576855366</v>
      </c>
    </row>
    <row r="471" spans="2:3" x14ac:dyDescent="0.25">
      <c r="B471">
        <v>464</v>
      </c>
      <c r="C471">
        <v>418.92083580463674</v>
      </c>
    </row>
    <row r="472" spans="2:3" x14ac:dyDescent="0.25">
      <c r="B472">
        <v>465</v>
      </c>
      <c r="C472">
        <v>414.96539576855366</v>
      </c>
    </row>
    <row r="473" spans="2:3" x14ac:dyDescent="0.25">
      <c r="B473">
        <v>466</v>
      </c>
      <c r="C473">
        <v>418.92083580463674</v>
      </c>
    </row>
    <row r="474" spans="2:3" x14ac:dyDescent="0.25">
      <c r="B474">
        <v>467</v>
      </c>
      <c r="C474">
        <v>414.96539576855366</v>
      </c>
    </row>
    <row r="475" spans="2:3" x14ac:dyDescent="0.25">
      <c r="B475">
        <v>468</v>
      </c>
      <c r="C475">
        <v>418.92083580463674</v>
      </c>
    </row>
    <row r="476" spans="2:3" x14ac:dyDescent="0.25">
      <c r="B476">
        <v>469</v>
      </c>
      <c r="C476">
        <v>414.96539576855366</v>
      </c>
    </row>
    <row r="477" spans="2:3" x14ac:dyDescent="0.25">
      <c r="B477">
        <v>470</v>
      </c>
      <c r="C477">
        <v>418.92083580463674</v>
      </c>
    </row>
    <row r="478" spans="2:3" x14ac:dyDescent="0.25">
      <c r="B478">
        <v>471</v>
      </c>
      <c r="C478">
        <v>414.96539576855366</v>
      </c>
    </row>
    <row r="479" spans="2:3" x14ac:dyDescent="0.25">
      <c r="B479">
        <v>472</v>
      </c>
      <c r="C479">
        <v>418.92083580463674</v>
      </c>
    </row>
    <row r="480" spans="2:3" x14ac:dyDescent="0.25">
      <c r="B480">
        <v>473</v>
      </c>
      <c r="C480">
        <v>414.96539576855366</v>
      </c>
    </row>
    <row r="481" spans="2:3" x14ac:dyDescent="0.25">
      <c r="B481">
        <v>474</v>
      </c>
      <c r="C481">
        <v>411.04730289819236</v>
      </c>
    </row>
    <row r="482" spans="2:3" x14ac:dyDescent="0.25">
      <c r="B482">
        <v>475</v>
      </c>
      <c r="C482">
        <v>414.96539576855366</v>
      </c>
    </row>
    <row r="483" spans="2:3" x14ac:dyDescent="0.25">
      <c r="B483">
        <v>476</v>
      </c>
      <c r="C483">
        <v>411.04730289819236</v>
      </c>
    </row>
    <row r="484" spans="2:3" x14ac:dyDescent="0.25">
      <c r="B484">
        <v>477</v>
      </c>
      <c r="C484">
        <v>414.96539576855366</v>
      </c>
    </row>
    <row r="485" spans="2:3" x14ac:dyDescent="0.25">
      <c r="B485">
        <v>478</v>
      </c>
      <c r="C485">
        <v>411.04730289819236</v>
      </c>
    </row>
    <row r="486" spans="2:3" x14ac:dyDescent="0.25">
      <c r="B486">
        <v>479</v>
      </c>
      <c r="C486">
        <v>414.96539576855366</v>
      </c>
    </row>
    <row r="487" spans="2:3" x14ac:dyDescent="0.25">
      <c r="B487">
        <v>480</v>
      </c>
      <c r="C487">
        <v>411.04730289819236</v>
      </c>
    </row>
    <row r="488" spans="2:3" x14ac:dyDescent="0.25">
      <c r="B488">
        <v>481</v>
      </c>
      <c r="C488">
        <v>414.96539576855366</v>
      </c>
    </row>
    <row r="489" spans="2:3" x14ac:dyDescent="0.25">
      <c r="B489">
        <v>482</v>
      </c>
      <c r="C489">
        <v>411.04730289819236</v>
      </c>
    </row>
    <row r="490" spans="2:3" x14ac:dyDescent="0.25">
      <c r="B490">
        <v>483</v>
      </c>
      <c r="C490">
        <v>414.96539576855366</v>
      </c>
    </row>
    <row r="491" spans="2:3" x14ac:dyDescent="0.25">
      <c r="B491">
        <v>484</v>
      </c>
      <c r="C491">
        <v>411.04730289819236</v>
      </c>
    </row>
    <row r="492" spans="2:3" x14ac:dyDescent="0.25">
      <c r="B492">
        <v>485</v>
      </c>
      <c r="C492">
        <v>414.96539576855366</v>
      </c>
    </row>
    <row r="493" spans="2:3" x14ac:dyDescent="0.25">
      <c r="B493">
        <v>486</v>
      </c>
      <c r="C493">
        <v>411.04730289819236</v>
      </c>
    </row>
    <row r="494" spans="2:3" x14ac:dyDescent="0.25">
      <c r="B494">
        <v>487</v>
      </c>
      <c r="C494">
        <v>414.96539576855366</v>
      </c>
    </row>
    <row r="495" spans="2:3" x14ac:dyDescent="0.25">
      <c r="B495">
        <v>488</v>
      </c>
      <c r="C495">
        <v>411.04730289819236</v>
      </c>
    </row>
    <row r="496" spans="2:3" x14ac:dyDescent="0.25">
      <c r="B496">
        <v>489</v>
      </c>
      <c r="C496">
        <v>407.16620456254952</v>
      </c>
    </row>
    <row r="497" spans="2:3" x14ac:dyDescent="0.25">
      <c r="B497">
        <v>490</v>
      </c>
      <c r="C497">
        <v>411.04730289819236</v>
      </c>
    </row>
    <row r="498" spans="2:3" x14ac:dyDescent="0.25">
      <c r="B498">
        <v>491</v>
      </c>
      <c r="C498">
        <v>407.16620456254952</v>
      </c>
    </row>
    <row r="499" spans="2:3" x14ac:dyDescent="0.25">
      <c r="B499">
        <v>492</v>
      </c>
      <c r="C499">
        <v>411.04730289819236</v>
      </c>
    </row>
    <row r="500" spans="2:3" x14ac:dyDescent="0.25">
      <c r="B500">
        <v>493</v>
      </c>
      <c r="C500">
        <v>407.16620456254952</v>
      </c>
    </row>
    <row r="501" spans="2:3" x14ac:dyDescent="0.25">
      <c r="B501">
        <v>494</v>
      </c>
      <c r="C501">
        <v>411.04730289819236</v>
      </c>
    </row>
    <row r="502" spans="2:3" x14ac:dyDescent="0.25">
      <c r="B502">
        <v>495</v>
      </c>
      <c r="C502">
        <v>407.16620456254952</v>
      </c>
    </row>
    <row r="503" spans="2:3" x14ac:dyDescent="0.25">
      <c r="B503">
        <v>496</v>
      </c>
      <c r="C503">
        <v>411.04730289819236</v>
      </c>
    </row>
    <row r="504" spans="2:3" x14ac:dyDescent="0.25">
      <c r="B504">
        <v>497</v>
      </c>
      <c r="C504">
        <v>407.16620456254952</v>
      </c>
    </row>
    <row r="505" spans="2:3" x14ac:dyDescent="0.25">
      <c r="B505">
        <v>498</v>
      </c>
      <c r="C505">
        <v>403.32175146015538</v>
      </c>
    </row>
    <row r="506" spans="2:3" x14ac:dyDescent="0.25">
      <c r="B506">
        <v>499</v>
      </c>
      <c r="C506">
        <v>407.16620456254952</v>
      </c>
    </row>
    <row r="507" spans="2:3" x14ac:dyDescent="0.25">
      <c r="B507">
        <v>500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09"/>
  <sheetViews>
    <sheetView workbookViewId="0">
      <selection activeCell="D7" sqref="D7"/>
    </sheetView>
  </sheetViews>
  <sheetFormatPr defaultRowHeight="15" x14ac:dyDescent="0.25"/>
  <sheetData>
    <row r="1" spans="1:8" x14ac:dyDescent="0.25">
      <c r="A1" t="s">
        <v>34</v>
      </c>
    </row>
    <row r="2" spans="1:8" x14ac:dyDescent="0.25">
      <c r="A2" s="1" t="s">
        <v>0</v>
      </c>
      <c r="B2" s="1">
        <v>100</v>
      </c>
      <c r="F2" t="s">
        <v>10</v>
      </c>
    </row>
    <row r="3" spans="1:8" x14ac:dyDescent="0.25">
      <c r="A3" s="1" t="s">
        <v>1</v>
      </c>
      <c r="B3" s="1">
        <v>-0.01</v>
      </c>
      <c r="E3" s="1" t="s">
        <v>9</v>
      </c>
      <c r="F3" s="1">
        <v>500</v>
      </c>
      <c r="H3" t="s">
        <v>32</v>
      </c>
    </row>
    <row r="4" spans="1:8" x14ac:dyDescent="0.25">
      <c r="A4" s="1" t="s">
        <v>2</v>
      </c>
      <c r="B4" s="1">
        <v>0</v>
      </c>
      <c r="E4" s="1">
        <v>100</v>
      </c>
      <c r="F4" s="1">
        <f>get_tree_ame_call_price(_S0,B3,B4,_T,_sigma,E4,F3)</f>
        <v>8.2395117126205175</v>
      </c>
      <c r="H4" t="s">
        <v>33</v>
      </c>
    </row>
    <row r="5" spans="1:8" x14ac:dyDescent="0.25">
      <c r="A5" s="1" t="s">
        <v>3</v>
      </c>
      <c r="B5" s="1">
        <v>0.5</v>
      </c>
    </row>
    <row r="6" spans="1:8" x14ac:dyDescent="0.25">
      <c r="A6" s="1" t="s">
        <v>4</v>
      </c>
      <c r="B6" s="1">
        <v>0.3</v>
      </c>
    </row>
    <row r="8" spans="1:8" x14ac:dyDescent="0.25">
      <c r="B8" t="s">
        <v>22</v>
      </c>
      <c r="C8" t="s">
        <v>30</v>
      </c>
    </row>
    <row r="9" spans="1:8" x14ac:dyDescent="0.25">
      <c r="B9">
        <v>0</v>
      </c>
      <c r="C9">
        <f t="array" ref="C9:C508">INDEX(get_ame_call_lower_bound(_S0,B3,B4,B5,B6,E4,F3),ROW($A$1:$A$500)-1)</f>
        <v>0</v>
      </c>
    </row>
    <row r="10" spans="1:8" x14ac:dyDescent="0.25">
      <c r="B10">
        <v>1</v>
      </c>
      <c r="C10">
        <v>0</v>
      </c>
    </row>
    <row r="11" spans="1:8" x14ac:dyDescent="0.25">
      <c r="B11">
        <v>2</v>
      </c>
      <c r="C11">
        <v>0</v>
      </c>
    </row>
    <row r="12" spans="1:8" x14ac:dyDescent="0.25">
      <c r="B12">
        <v>3</v>
      </c>
      <c r="C12">
        <v>0</v>
      </c>
    </row>
    <row r="13" spans="1:8" x14ac:dyDescent="0.25">
      <c r="B13">
        <v>4</v>
      </c>
      <c r="C13">
        <v>0</v>
      </c>
    </row>
    <row r="14" spans="1:8" x14ac:dyDescent="0.25">
      <c r="B14">
        <v>5</v>
      </c>
      <c r="C14">
        <v>0</v>
      </c>
    </row>
    <row r="15" spans="1:8" x14ac:dyDescent="0.25">
      <c r="B15">
        <v>6</v>
      </c>
      <c r="C15">
        <v>0</v>
      </c>
    </row>
    <row r="16" spans="1:8" x14ac:dyDescent="0.25">
      <c r="B16">
        <v>7</v>
      </c>
      <c r="C16">
        <v>0</v>
      </c>
    </row>
    <row r="17" spans="2:3" x14ac:dyDescent="0.25">
      <c r="B17">
        <v>8</v>
      </c>
      <c r="C17">
        <v>0</v>
      </c>
    </row>
    <row r="18" spans="2:3" x14ac:dyDescent="0.25">
      <c r="B18">
        <v>9</v>
      </c>
      <c r="C18">
        <v>0</v>
      </c>
    </row>
    <row r="19" spans="2:3" x14ac:dyDescent="0.25">
      <c r="B19">
        <v>10</v>
      </c>
      <c r="C19">
        <v>0</v>
      </c>
    </row>
    <row r="20" spans="2:3" x14ac:dyDescent="0.25">
      <c r="B20">
        <v>11</v>
      </c>
      <c r="C20">
        <v>0</v>
      </c>
    </row>
    <row r="21" spans="2:3" x14ac:dyDescent="0.25">
      <c r="B21">
        <v>12</v>
      </c>
      <c r="C21">
        <v>0</v>
      </c>
    </row>
    <row r="22" spans="2:3" x14ac:dyDescent="0.25">
      <c r="B22">
        <v>13</v>
      </c>
      <c r="C22">
        <v>0</v>
      </c>
    </row>
    <row r="23" spans="2:3" x14ac:dyDescent="0.25">
      <c r="B23">
        <v>14</v>
      </c>
      <c r="C23">
        <v>0</v>
      </c>
    </row>
    <row r="24" spans="2:3" x14ac:dyDescent="0.25">
      <c r="B24">
        <v>15</v>
      </c>
      <c r="C24">
        <v>0</v>
      </c>
    </row>
    <row r="25" spans="2:3" x14ac:dyDescent="0.25">
      <c r="B25">
        <v>16</v>
      </c>
      <c r="C25">
        <v>0</v>
      </c>
    </row>
    <row r="26" spans="2:3" x14ac:dyDescent="0.25">
      <c r="B26">
        <v>17</v>
      </c>
      <c r="C26">
        <v>0</v>
      </c>
    </row>
    <row r="27" spans="2:3" x14ac:dyDescent="0.25">
      <c r="B27">
        <v>18</v>
      </c>
      <c r="C27">
        <v>0</v>
      </c>
    </row>
    <row r="28" spans="2:3" x14ac:dyDescent="0.25">
      <c r="B28">
        <v>19</v>
      </c>
      <c r="C28">
        <v>0</v>
      </c>
    </row>
    <row r="29" spans="2:3" x14ac:dyDescent="0.25">
      <c r="B29">
        <v>20</v>
      </c>
      <c r="C29">
        <v>0</v>
      </c>
    </row>
    <row r="30" spans="2:3" x14ac:dyDescent="0.25">
      <c r="B30">
        <v>21</v>
      </c>
      <c r="C30">
        <v>0</v>
      </c>
    </row>
    <row r="31" spans="2:3" x14ac:dyDescent="0.25">
      <c r="B31">
        <v>22</v>
      </c>
      <c r="C31">
        <v>0</v>
      </c>
    </row>
    <row r="32" spans="2:3" x14ac:dyDescent="0.25">
      <c r="B32">
        <v>23</v>
      </c>
      <c r="C32">
        <v>0</v>
      </c>
    </row>
    <row r="33" spans="2:3" x14ac:dyDescent="0.25">
      <c r="B33">
        <v>24</v>
      </c>
      <c r="C33">
        <v>0</v>
      </c>
    </row>
    <row r="34" spans="2:3" x14ac:dyDescent="0.25">
      <c r="B34">
        <v>25</v>
      </c>
      <c r="C34">
        <v>0</v>
      </c>
    </row>
    <row r="35" spans="2:3" x14ac:dyDescent="0.25">
      <c r="B35">
        <v>26</v>
      </c>
      <c r="C35">
        <v>0</v>
      </c>
    </row>
    <row r="36" spans="2:3" x14ac:dyDescent="0.25">
      <c r="B36">
        <v>27</v>
      </c>
      <c r="C36">
        <v>0</v>
      </c>
    </row>
    <row r="37" spans="2:3" x14ac:dyDescent="0.25">
      <c r="B37">
        <v>28</v>
      </c>
      <c r="C37">
        <v>0</v>
      </c>
    </row>
    <row r="38" spans="2:3" x14ac:dyDescent="0.25">
      <c r="B38">
        <v>29</v>
      </c>
      <c r="C38">
        <v>0</v>
      </c>
    </row>
    <row r="39" spans="2:3" x14ac:dyDescent="0.25">
      <c r="B39">
        <v>30</v>
      </c>
      <c r="C39">
        <v>0</v>
      </c>
    </row>
    <row r="40" spans="2:3" x14ac:dyDescent="0.25">
      <c r="B40">
        <v>31</v>
      </c>
      <c r="C40">
        <v>0</v>
      </c>
    </row>
    <row r="41" spans="2:3" x14ac:dyDescent="0.25">
      <c r="B41">
        <v>32</v>
      </c>
      <c r="C41">
        <v>0</v>
      </c>
    </row>
    <row r="42" spans="2:3" x14ac:dyDescent="0.25">
      <c r="B42">
        <v>33</v>
      </c>
      <c r="C42">
        <v>0</v>
      </c>
    </row>
    <row r="43" spans="2:3" x14ac:dyDescent="0.25">
      <c r="B43">
        <v>34</v>
      </c>
      <c r="C43">
        <v>0</v>
      </c>
    </row>
    <row r="44" spans="2:3" x14ac:dyDescent="0.25">
      <c r="B44">
        <v>35</v>
      </c>
      <c r="C44">
        <v>0</v>
      </c>
    </row>
    <row r="45" spans="2:3" x14ac:dyDescent="0.25">
      <c r="B45">
        <v>36</v>
      </c>
      <c r="C45">
        <v>0</v>
      </c>
    </row>
    <row r="46" spans="2:3" x14ac:dyDescent="0.25">
      <c r="B46">
        <v>37</v>
      </c>
      <c r="C46">
        <v>0</v>
      </c>
    </row>
    <row r="47" spans="2:3" x14ac:dyDescent="0.25">
      <c r="B47">
        <v>38</v>
      </c>
      <c r="C47">
        <v>0</v>
      </c>
    </row>
    <row r="48" spans="2:3" x14ac:dyDescent="0.25">
      <c r="B48">
        <v>39</v>
      </c>
      <c r="C48">
        <v>0</v>
      </c>
    </row>
    <row r="49" spans="2:3" x14ac:dyDescent="0.25">
      <c r="B49">
        <v>40</v>
      </c>
      <c r="C49">
        <v>0</v>
      </c>
    </row>
    <row r="50" spans="2:3" x14ac:dyDescent="0.25">
      <c r="B50">
        <v>41</v>
      </c>
      <c r="C50">
        <v>0</v>
      </c>
    </row>
    <row r="51" spans="2:3" x14ac:dyDescent="0.25">
      <c r="B51">
        <v>42</v>
      </c>
      <c r="C51">
        <v>0</v>
      </c>
    </row>
    <row r="52" spans="2:3" x14ac:dyDescent="0.25">
      <c r="B52">
        <v>43</v>
      </c>
      <c r="C52">
        <v>0</v>
      </c>
    </row>
    <row r="53" spans="2:3" x14ac:dyDescent="0.25">
      <c r="B53">
        <v>44</v>
      </c>
      <c r="C53">
        <v>0</v>
      </c>
    </row>
    <row r="54" spans="2:3" x14ac:dyDescent="0.25">
      <c r="B54">
        <v>45</v>
      </c>
      <c r="C54">
        <v>0</v>
      </c>
    </row>
    <row r="55" spans="2:3" x14ac:dyDescent="0.25">
      <c r="B55">
        <v>46</v>
      </c>
      <c r="C55">
        <v>0</v>
      </c>
    </row>
    <row r="56" spans="2:3" x14ac:dyDescent="0.25">
      <c r="B56">
        <v>47</v>
      </c>
      <c r="C56">
        <v>0</v>
      </c>
    </row>
    <row r="57" spans="2:3" x14ac:dyDescent="0.25">
      <c r="B57">
        <v>48</v>
      </c>
      <c r="C57">
        <v>0</v>
      </c>
    </row>
    <row r="58" spans="2:3" x14ac:dyDescent="0.25">
      <c r="B58">
        <v>49</v>
      </c>
      <c r="C58">
        <v>157.67534948743793</v>
      </c>
    </row>
    <row r="59" spans="2:3" x14ac:dyDescent="0.25">
      <c r="B59">
        <v>50</v>
      </c>
      <c r="C59">
        <v>159.17830707480712</v>
      </c>
    </row>
    <row r="60" spans="2:3" x14ac:dyDescent="0.25">
      <c r="B60">
        <v>51</v>
      </c>
      <c r="C60">
        <v>157.67534948743793</v>
      </c>
    </row>
    <row r="61" spans="2:3" x14ac:dyDescent="0.25">
      <c r="B61">
        <v>52</v>
      </c>
      <c r="C61">
        <v>159.17830707480712</v>
      </c>
    </row>
    <row r="62" spans="2:3" x14ac:dyDescent="0.25">
      <c r="B62">
        <v>53</v>
      </c>
      <c r="C62">
        <v>157.67534948743793</v>
      </c>
    </row>
    <row r="63" spans="2:3" x14ac:dyDescent="0.25">
      <c r="B63">
        <v>54</v>
      </c>
      <c r="C63">
        <v>159.17830707480712</v>
      </c>
    </row>
    <row r="64" spans="2:3" x14ac:dyDescent="0.25">
      <c r="B64">
        <v>55</v>
      </c>
      <c r="C64">
        <v>157.67534948743793</v>
      </c>
    </row>
    <row r="65" spans="2:3" x14ac:dyDescent="0.25">
      <c r="B65">
        <v>56</v>
      </c>
      <c r="C65">
        <v>159.17830707480712</v>
      </c>
    </row>
    <row r="66" spans="2:3" x14ac:dyDescent="0.25">
      <c r="B66">
        <v>57</v>
      </c>
      <c r="C66">
        <v>157.67534948743793</v>
      </c>
    </row>
    <row r="67" spans="2:3" x14ac:dyDescent="0.25">
      <c r="B67">
        <v>58</v>
      </c>
      <c r="C67">
        <v>159.17830707480712</v>
      </c>
    </row>
    <row r="68" spans="2:3" x14ac:dyDescent="0.25">
      <c r="B68">
        <v>59</v>
      </c>
      <c r="C68">
        <v>157.67534948743793</v>
      </c>
    </row>
    <row r="69" spans="2:3" x14ac:dyDescent="0.25">
      <c r="B69">
        <v>60</v>
      </c>
      <c r="C69">
        <v>159.17830707480712</v>
      </c>
    </row>
    <row r="70" spans="2:3" x14ac:dyDescent="0.25">
      <c r="B70">
        <v>61</v>
      </c>
      <c r="C70">
        <v>157.67534948743793</v>
      </c>
    </row>
    <row r="71" spans="2:3" x14ac:dyDescent="0.25">
      <c r="B71">
        <v>62</v>
      </c>
      <c r="C71">
        <v>159.17830707480712</v>
      </c>
    </row>
    <row r="72" spans="2:3" x14ac:dyDescent="0.25">
      <c r="B72">
        <v>63</v>
      </c>
      <c r="C72">
        <v>157.67534948743793</v>
      </c>
    </row>
    <row r="73" spans="2:3" x14ac:dyDescent="0.25">
      <c r="B73">
        <v>64</v>
      </c>
      <c r="C73">
        <v>159.17830707480712</v>
      </c>
    </row>
    <row r="74" spans="2:3" x14ac:dyDescent="0.25">
      <c r="B74">
        <v>65</v>
      </c>
      <c r="C74">
        <v>157.67534948743793</v>
      </c>
    </row>
    <row r="75" spans="2:3" x14ac:dyDescent="0.25">
      <c r="B75">
        <v>66</v>
      </c>
      <c r="C75">
        <v>159.17830707480712</v>
      </c>
    </row>
    <row r="76" spans="2:3" x14ac:dyDescent="0.25">
      <c r="B76">
        <v>67</v>
      </c>
      <c r="C76">
        <v>157.67534948743793</v>
      </c>
    </row>
    <row r="77" spans="2:3" x14ac:dyDescent="0.25">
      <c r="B77">
        <v>68</v>
      </c>
      <c r="C77">
        <v>159.17830707480712</v>
      </c>
    </row>
    <row r="78" spans="2:3" x14ac:dyDescent="0.25">
      <c r="B78">
        <v>69</v>
      </c>
      <c r="C78">
        <v>157.67534948743793</v>
      </c>
    </row>
    <row r="79" spans="2:3" x14ac:dyDescent="0.25">
      <c r="B79">
        <v>70</v>
      </c>
      <c r="C79">
        <v>156.1865827879538</v>
      </c>
    </row>
    <row r="80" spans="2:3" x14ac:dyDescent="0.25">
      <c r="B80">
        <v>71</v>
      </c>
      <c r="C80">
        <v>157.67534948743793</v>
      </c>
    </row>
    <row r="81" spans="2:3" x14ac:dyDescent="0.25">
      <c r="B81">
        <v>72</v>
      </c>
      <c r="C81">
        <v>156.1865827879538</v>
      </c>
    </row>
    <row r="82" spans="2:3" x14ac:dyDescent="0.25">
      <c r="B82">
        <v>73</v>
      </c>
      <c r="C82">
        <v>157.67534948743793</v>
      </c>
    </row>
    <row r="83" spans="2:3" x14ac:dyDescent="0.25">
      <c r="B83">
        <v>74</v>
      </c>
      <c r="C83">
        <v>156.1865827879538</v>
      </c>
    </row>
    <row r="84" spans="2:3" x14ac:dyDescent="0.25">
      <c r="B84">
        <v>75</v>
      </c>
      <c r="C84">
        <v>157.67534948743793</v>
      </c>
    </row>
    <row r="85" spans="2:3" x14ac:dyDescent="0.25">
      <c r="B85">
        <v>76</v>
      </c>
      <c r="C85">
        <v>156.1865827879538</v>
      </c>
    </row>
    <row r="86" spans="2:3" x14ac:dyDescent="0.25">
      <c r="B86">
        <v>77</v>
      </c>
      <c r="C86">
        <v>157.67534948743793</v>
      </c>
    </row>
    <row r="87" spans="2:3" x14ac:dyDescent="0.25">
      <c r="B87">
        <v>78</v>
      </c>
      <c r="C87">
        <v>156.1865827879538</v>
      </c>
    </row>
    <row r="88" spans="2:3" x14ac:dyDescent="0.25">
      <c r="B88">
        <v>79</v>
      </c>
      <c r="C88">
        <v>157.67534948743793</v>
      </c>
    </row>
    <row r="89" spans="2:3" x14ac:dyDescent="0.25">
      <c r="B89">
        <v>80</v>
      </c>
      <c r="C89">
        <v>156.1865827879538</v>
      </c>
    </row>
    <row r="90" spans="2:3" x14ac:dyDescent="0.25">
      <c r="B90">
        <v>81</v>
      </c>
      <c r="C90">
        <v>157.67534948743793</v>
      </c>
    </row>
    <row r="91" spans="2:3" x14ac:dyDescent="0.25">
      <c r="B91">
        <v>82</v>
      </c>
      <c r="C91">
        <v>156.1865827879538</v>
      </c>
    </row>
    <row r="92" spans="2:3" x14ac:dyDescent="0.25">
      <c r="B92">
        <v>83</v>
      </c>
      <c r="C92">
        <v>157.67534948743793</v>
      </c>
    </row>
    <row r="93" spans="2:3" x14ac:dyDescent="0.25">
      <c r="B93">
        <v>84</v>
      </c>
      <c r="C93">
        <v>156.1865827879538</v>
      </c>
    </row>
    <row r="94" spans="2:3" x14ac:dyDescent="0.25">
      <c r="B94">
        <v>85</v>
      </c>
      <c r="C94">
        <v>157.67534948743793</v>
      </c>
    </row>
    <row r="95" spans="2:3" x14ac:dyDescent="0.25">
      <c r="B95">
        <v>86</v>
      </c>
      <c r="C95">
        <v>156.1865827879538</v>
      </c>
    </row>
    <row r="96" spans="2:3" x14ac:dyDescent="0.25">
      <c r="B96">
        <v>87</v>
      </c>
      <c r="C96">
        <v>157.67534948743793</v>
      </c>
    </row>
    <row r="97" spans="2:3" x14ac:dyDescent="0.25">
      <c r="B97">
        <v>88</v>
      </c>
      <c r="C97">
        <v>156.1865827879538</v>
      </c>
    </row>
    <row r="98" spans="2:3" x14ac:dyDescent="0.25">
      <c r="B98">
        <v>89</v>
      </c>
      <c r="C98">
        <v>157.67534948743793</v>
      </c>
    </row>
    <row r="99" spans="2:3" x14ac:dyDescent="0.25">
      <c r="B99">
        <v>90</v>
      </c>
      <c r="C99">
        <v>156.1865827879538</v>
      </c>
    </row>
    <row r="100" spans="2:3" x14ac:dyDescent="0.25">
      <c r="B100">
        <v>91</v>
      </c>
      <c r="C100">
        <v>154.71187298634686</v>
      </c>
    </row>
    <row r="101" spans="2:3" x14ac:dyDescent="0.25">
      <c r="B101">
        <v>92</v>
      </c>
      <c r="C101">
        <v>156.1865827879538</v>
      </c>
    </row>
    <row r="102" spans="2:3" x14ac:dyDescent="0.25">
      <c r="B102">
        <v>93</v>
      </c>
      <c r="C102">
        <v>154.71187298634686</v>
      </c>
    </row>
    <row r="103" spans="2:3" x14ac:dyDescent="0.25">
      <c r="B103">
        <v>94</v>
      </c>
      <c r="C103">
        <v>156.1865827879538</v>
      </c>
    </row>
    <row r="104" spans="2:3" x14ac:dyDescent="0.25">
      <c r="B104">
        <v>95</v>
      </c>
      <c r="C104">
        <v>154.71187298634686</v>
      </c>
    </row>
    <row r="105" spans="2:3" x14ac:dyDescent="0.25">
      <c r="B105">
        <v>96</v>
      </c>
      <c r="C105">
        <v>156.1865827879538</v>
      </c>
    </row>
    <row r="106" spans="2:3" x14ac:dyDescent="0.25">
      <c r="B106">
        <v>97</v>
      </c>
      <c r="C106">
        <v>154.71187298634686</v>
      </c>
    </row>
    <row r="107" spans="2:3" x14ac:dyDescent="0.25">
      <c r="B107">
        <v>98</v>
      </c>
      <c r="C107">
        <v>156.1865827879538</v>
      </c>
    </row>
    <row r="108" spans="2:3" x14ac:dyDescent="0.25">
      <c r="B108">
        <v>99</v>
      </c>
      <c r="C108">
        <v>154.71187298634686</v>
      </c>
    </row>
    <row r="109" spans="2:3" x14ac:dyDescent="0.25">
      <c r="B109">
        <v>100</v>
      </c>
      <c r="C109">
        <v>156.1865827879538</v>
      </c>
    </row>
    <row r="110" spans="2:3" x14ac:dyDescent="0.25">
      <c r="B110">
        <v>101</v>
      </c>
      <c r="C110">
        <v>154.71187298634686</v>
      </c>
    </row>
    <row r="111" spans="2:3" x14ac:dyDescent="0.25">
      <c r="B111">
        <v>102</v>
      </c>
      <c r="C111">
        <v>156.1865827879538</v>
      </c>
    </row>
    <row r="112" spans="2:3" x14ac:dyDescent="0.25">
      <c r="B112">
        <v>103</v>
      </c>
      <c r="C112">
        <v>154.71187298634686</v>
      </c>
    </row>
    <row r="113" spans="2:3" x14ac:dyDescent="0.25">
      <c r="B113">
        <v>104</v>
      </c>
      <c r="C113">
        <v>156.1865827879538</v>
      </c>
    </row>
    <row r="114" spans="2:3" x14ac:dyDescent="0.25">
      <c r="B114">
        <v>105</v>
      </c>
      <c r="C114">
        <v>154.71187298634686</v>
      </c>
    </row>
    <row r="115" spans="2:3" x14ac:dyDescent="0.25">
      <c r="B115">
        <v>106</v>
      </c>
      <c r="C115">
        <v>156.1865827879538</v>
      </c>
    </row>
    <row r="116" spans="2:3" x14ac:dyDescent="0.25">
      <c r="B116">
        <v>107</v>
      </c>
      <c r="C116">
        <v>154.71187298634686</v>
      </c>
    </row>
    <row r="117" spans="2:3" x14ac:dyDescent="0.25">
      <c r="B117">
        <v>108</v>
      </c>
      <c r="C117">
        <v>156.1865827879538</v>
      </c>
    </row>
    <row r="118" spans="2:3" x14ac:dyDescent="0.25">
      <c r="B118">
        <v>109</v>
      </c>
      <c r="C118">
        <v>154.71187298634686</v>
      </c>
    </row>
    <row r="119" spans="2:3" x14ac:dyDescent="0.25">
      <c r="B119">
        <v>110</v>
      </c>
      <c r="C119">
        <v>153.25108735773952</v>
      </c>
    </row>
    <row r="120" spans="2:3" x14ac:dyDescent="0.25">
      <c r="B120">
        <v>111</v>
      </c>
      <c r="C120">
        <v>154.71187298634686</v>
      </c>
    </row>
    <row r="121" spans="2:3" x14ac:dyDescent="0.25">
      <c r="B121">
        <v>112</v>
      </c>
      <c r="C121">
        <v>153.25108735773952</v>
      </c>
    </row>
    <row r="122" spans="2:3" x14ac:dyDescent="0.25">
      <c r="B122">
        <v>113</v>
      </c>
      <c r="C122">
        <v>154.71187298634686</v>
      </c>
    </row>
    <row r="123" spans="2:3" x14ac:dyDescent="0.25">
      <c r="B123">
        <v>114</v>
      </c>
      <c r="C123">
        <v>153.25108735773952</v>
      </c>
    </row>
    <row r="124" spans="2:3" x14ac:dyDescent="0.25">
      <c r="B124">
        <v>115</v>
      </c>
      <c r="C124">
        <v>154.71187298634686</v>
      </c>
    </row>
    <row r="125" spans="2:3" x14ac:dyDescent="0.25">
      <c r="B125">
        <v>116</v>
      </c>
      <c r="C125">
        <v>153.25108735773952</v>
      </c>
    </row>
    <row r="126" spans="2:3" x14ac:dyDescent="0.25">
      <c r="B126">
        <v>117</v>
      </c>
      <c r="C126">
        <v>154.71187298634686</v>
      </c>
    </row>
    <row r="127" spans="2:3" x14ac:dyDescent="0.25">
      <c r="B127">
        <v>118</v>
      </c>
      <c r="C127">
        <v>153.25108735773952</v>
      </c>
    </row>
    <row r="128" spans="2:3" x14ac:dyDescent="0.25">
      <c r="B128">
        <v>119</v>
      </c>
      <c r="C128">
        <v>154.71187298634686</v>
      </c>
    </row>
    <row r="129" spans="2:3" x14ac:dyDescent="0.25">
      <c r="B129">
        <v>120</v>
      </c>
      <c r="C129">
        <v>153.25108735773952</v>
      </c>
    </row>
    <row r="130" spans="2:3" x14ac:dyDescent="0.25">
      <c r="B130">
        <v>121</v>
      </c>
      <c r="C130">
        <v>154.71187298634686</v>
      </c>
    </row>
    <row r="131" spans="2:3" x14ac:dyDescent="0.25">
      <c r="B131">
        <v>122</v>
      </c>
      <c r="C131">
        <v>153.25108735773952</v>
      </c>
    </row>
    <row r="132" spans="2:3" x14ac:dyDescent="0.25">
      <c r="B132">
        <v>123</v>
      </c>
      <c r="C132">
        <v>154.71187298634686</v>
      </c>
    </row>
    <row r="133" spans="2:3" x14ac:dyDescent="0.25">
      <c r="B133">
        <v>124</v>
      </c>
      <c r="C133">
        <v>153.25108735773952</v>
      </c>
    </row>
    <row r="134" spans="2:3" x14ac:dyDescent="0.25">
      <c r="B134">
        <v>125</v>
      </c>
      <c r="C134">
        <v>154.71187298634686</v>
      </c>
    </row>
    <row r="135" spans="2:3" x14ac:dyDescent="0.25">
      <c r="B135">
        <v>126</v>
      </c>
      <c r="C135">
        <v>153.25108735773952</v>
      </c>
    </row>
    <row r="136" spans="2:3" x14ac:dyDescent="0.25">
      <c r="B136">
        <v>127</v>
      </c>
      <c r="C136">
        <v>154.71187298634686</v>
      </c>
    </row>
    <row r="137" spans="2:3" x14ac:dyDescent="0.25">
      <c r="B137">
        <v>128</v>
      </c>
      <c r="C137">
        <v>153.25108735773952</v>
      </c>
    </row>
    <row r="138" spans="2:3" x14ac:dyDescent="0.25">
      <c r="B138">
        <v>129</v>
      </c>
      <c r="C138">
        <v>154.71187298634686</v>
      </c>
    </row>
    <row r="139" spans="2:3" x14ac:dyDescent="0.25">
      <c r="B139">
        <v>130</v>
      </c>
      <c r="C139">
        <v>153.25108735773952</v>
      </c>
    </row>
    <row r="140" spans="2:3" x14ac:dyDescent="0.25">
      <c r="B140">
        <v>131</v>
      </c>
      <c r="C140">
        <v>151.80409443043916</v>
      </c>
    </row>
    <row r="141" spans="2:3" x14ac:dyDescent="0.25">
      <c r="B141">
        <v>132</v>
      </c>
      <c r="C141">
        <v>153.25108735773952</v>
      </c>
    </row>
    <row r="142" spans="2:3" x14ac:dyDescent="0.25">
      <c r="B142">
        <v>133</v>
      </c>
      <c r="C142">
        <v>151.80409443043916</v>
      </c>
    </row>
    <row r="143" spans="2:3" x14ac:dyDescent="0.25">
      <c r="B143">
        <v>134</v>
      </c>
      <c r="C143">
        <v>153.25108735773952</v>
      </c>
    </row>
    <row r="144" spans="2:3" x14ac:dyDescent="0.25">
      <c r="B144">
        <v>135</v>
      </c>
      <c r="C144">
        <v>151.80409443043916</v>
      </c>
    </row>
    <row r="145" spans="2:3" x14ac:dyDescent="0.25">
      <c r="B145">
        <v>136</v>
      </c>
      <c r="C145">
        <v>153.25108735773952</v>
      </c>
    </row>
    <row r="146" spans="2:3" x14ac:dyDescent="0.25">
      <c r="B146">
        <v>137</v>
      </c>
      <c r="C146">
        <v>151.80409443043916</v>
      </c>
    </row>
    <row r="147" spans="2:3" x14ac:dyDescent="0.25">
      <c r="B147">
        <v>138</v>
      </c>
      <c r="C147">
        <v>153.25108735773952</v>
      </c>
    </row>
    <row r="148" spans="2:3" x14ac:dyDescent="0.25">
      <c r="B148">
        <v>139</v>
      </c>
      <c r="C148">
        <v>151.80409443043916</v>
      </c>
    </row>
    <row r="149" spans="2:3" x14ac:dyDescent="0.25">
      <c r="B149">
        <v>140</v>
      </c>
      <c r="C149">
        <v>153.25108735773952</v>
      </c>
    </row>
    <row r="150" spans="2:3" x14ac:dyDescent="0.25">
      <c r="B150">
        <v>141</v>
      </c>
      <c r="C150">
        <v>151.80409443043916</v>
      </c>
    </row>
    <row r="151" spans="2:3" x14ac:dyDescent="0.25">
      <c r="B151">
        <v>142</v>
      </c>
      <c r="C151">
        <v>153.25108735773952</v>
      </c>
    </row>
    <row r="152" spans="2:3" x14ac:dyDescent="0.25">
      <c r="B152">
        <v>143</v>
      </c>
      <c r="C152">
        <v>151.80409443043916</v>
      </c>
    </row>
    <row r="153" spans="2:3" x14ac:dyDescent="0.25">
      <c r="B153">
        <v>144</v>
      </c>
      <c r="C153">
        <v>153.25108735773952</v>
      </c>
    </row>
    <row r="154" spans="2:3" x14ac:dyDescent="0.25">
      <c r="B154">
        <v>145</v>
      </c>
      <c r="C154">
        <v>151.80409443043916</v>
      </c>
    </row>
    <row r="155" spans="2:3" x14ac:dyDescent="0.25">
      <c r="B155">
        <v>146</v>
      </c>
      <c r="C155">
        <v>153.25108735773952</v>
      </c>
    </row>
    <row r="156" spans="2:3" x14ac:dyDescent="0.25">
      <c r="B156">
        <v>147</v>
      </c>
      <c r="C156">
        <v>151.80409443043916</v>
      </c>
    </row>
    <row r="157" spans="2:3" x14ac:dyDescent="0.25">
      <c r="B157">
        <v>148</v>
      </c>
      <c r="C157">
        <v>153.25108735773952</v>
      </c>
    </row>
    <row r="158" spans="2:3" x14ac:dyDescent="0.25">
      <c r="B158">
        <v>149</v>
      </c>
      <c r="C158">
        <v>151.80409443043916</v>
      </c>
    </row>
    <row r="159" spans="2:3" x14ac:dyDescent="0.25">
      <c r="B159">
        <v>150</v>
      </c>
      <c r="C159">
        <v>150.37076397410561</v>
      </c>
    </row>
    <row r="160" spans="2:3" x14ac:dyDescent="0.25">
      <c r="B160">
        <v>151</v>
      </c>
      <c r="C160">
        <v>151.80409443043916</v>
      </c>
    </row>
    <row r="161" spans="2:3" x14ac:dyDescent="0.25">
      <c r="B161">
        <v>152</v>
      </c>
      <c r="C161">
        <v>150.37076397410561</v>
      </c>
    </row>
    <row r="162" spans="2:3" x14ac:dyDescent="0.25">
      <c r="B162">
        <v>153</v>
      </c>
      <c r="C162">
        <v>151.80409443043916</v>
      </c>
    </row>
    <row r="163" spans="2:3" x14ac:dyDescent="0.25">
      <c r="B163">
        <v>154</v>
      </c>
      <c r="C163">
        <v>150.37076397410561</v>
      </c>
    </row>
    <row r="164" spans="2:3" x14ac:dyDescent="0.25">
      <c r="B164">
        <v>155</v>
      </c>
      <c r="C164">
        <v>151.80409443043916</v>
      </c>
    </row>
    <row r="165" spans="2:3" x14ac:dyDescent="0.25">
      <c r="B165">
        <v>156</v>
      </c>
      <c r="C165">
        <v>150.37076397410561</v>
      </c>
    </row>
    <row r="166" spans="2:3" x14ac:dyDescent="0.25">
      <c r="B166">
        <v>157</v>
      </c>
      <c r="C166">
        <v>151.80409443043916</v>
      </c>
    </row>
    <row r="167" spans="2:3" x14ac:dyDescent="0.25">
      <c r="B167">
        <v>158</v>
      </c>
      <c r="C167">
        <v>150.37076397410561</v>
      </c>
    </row>
    <row r="168" spans="2:3" x14ac:dyDescent="0.25">
      <c r="B168">
        <v>159</v>
      </c>
      <c r="C168">
        <v>151.80409443043916</v>
      </c>
    </row>
    <row r="169" spans="2:3" x14ac:dyDescent="0.25">
      <c r="B169">
        <v>160</v>
      </c>
      <c r="C169">
        <v>150.37076397410561</v>
      </c>
    </row>
    <row r="170" spans="2:3" x14ac:dyDescent="0.25">
      <c r="B170">
        <v>161</v>
      </c>
      <c r="C170">
        <v>151.80409443043916</v>
      </c>
    </row>
    <row r="171" spans="2:3" x14ac:dyDescent="0.25">
      <c r="B171">
        <v>162</v>
      </c>
      <c r="C171">
        <v>150.37076397410561</v>
      </c>
    </row>
    <row r="172" spans="2:3" x14ac:dyDescent="0.25">
      <c r="B172">
        <v>163</v>
      </c>
      <c r="C172">
        <v>151.80409443043916</v>
      </c>
    </row>
    <row r="173" spans="2:3" x14ac:dyDescent="0.25">
      <c r="B173">
        <v>164</v>
      </c>
      <c r="C173">
        <v>150.37076397410561</v>
      </c>
    </row>
    <row r="174" spans="2:3" x14ac:dyDescent="0.25">
      <c r="B174">
        <v>165</v>
      </c>
      <c r="C174">
        <v>151.80409443043916</v>
      </c>
    </row>
    <row r="175" spans="2:3" x14ac:dyDescent="0.25">
      <c r="B175">
        <v>166</v>
      </c>
      <c r="C175">
        <v>150.37076397410561</v>
      </c>
    </row>
    <row r="176" spans="2:3" x14ac:dyDescent="0.25">
      <c r="B176">
        <v>167</v>
      </c>
      <c r="C176">
        <v>151.80409443043916</v>
      </c>
    </row>
    <row r="177" spans="2:3" x14ac:dyDescent="0.25">
      <c r="B177">
        <v>168</v>
      </c>
      <c r="C177">
        <v>150.37076397410561</v>
      </c>
    </row>
    <row r="178" spans="2:3" x14ac:dyDescent="0.25">
      <c r="B178">
        <v>169</v>
      </c>
      <c r="C178">
        <v>148.95096698803033</v>
      </c>
    </row>
    <row r="179" spans="2:3" x14ac:dyDescent="0.25">
      <c r="B179">
        <v>170</v>
      </c>
      <c r="C179">
        <v>150.37076397410561</v>
      </c>
    </row>
    <row r="180" spans="2:3" x14ac:dyDescent="0.25">
      <c r="B180">
        <v>171</v>
      </c>
      <c r="C180">
        <v>148.95096698803033</v>
      </c>
    </row>
    <row r="181" spans="2:3" x14ac:dyDescent="0.25">
      <c r="B181">
        <v>172</v>
      </c>
      <c r="C181">
        <v>150.37076397410561</v>
      </c>
    </row>
    <row r="182" spans="2:3" x14ac:dyDescent="0.25">
      <c r="B182">
        <v>173</v>
      </c>
      <c r="C182">
        <v>148.95096698803033</v>
      </c>
    </row>
    <row r="183" spans="2:3" x14ac:dyDescent="0.25">
      <c r="B183">
        <v>174</v>
      </c>
      <c r="C183">
        <v>150.37076397410561</v>
      </c>
    </row>
    <row r="184" spans="2:3" x14ac:dyDescent="0.25">
      <c r="B184">
        <v>175</v>
      </c>
      <c r="C184">
        <v>148.95096698803033</v>
      </c>
    </row>
    <row r="185" spans="2:3" x14ac:dyDescent="0.25">
      <c r="B185">
        <v>176</v>
      </c>
      <c r="C185">
        <v>150.37076397410561</v>
      </c>
    </row>
    <row r="186" spans="2:3" x14ac:dyDescent="0.25">
      <c r="B186">
        <v>177</v>
      </c>
      <c r="C186">
        <v>148.95096698803033</v>
      </c>
    </row>
    <row r="187" spans="2:3" x14ac:dyDescent="0.25">
      <c r="B187">
        <v>178</v>
      </c>
      <c r="C187">
        <v>150.37076397410561</v>
      </c>
    </row>
    <row r="188" spans="2:3" x14ac:dyDescent="0.25">
      <c r="B188">
        <v>179</v>
      </c>
      <c r="C188">
        <v>148.95096698803033</v>
      </c>
    </row>
    <row r="189" spans="2:3" x14ac:dyDescent="0.25">
      <c r="B189">
        <v>180</v>
      </c>
      <c r="C189">
        <v>150.37076397410561</v>
      </c>
    </row>
    <row r="190" spans="2:3" x14ac:dyDescent="0.25">
      <c r="B190">
        <v>181</v>
      </c>
      <c r="C190">
        <v>148.95096698803033</v>
      </c>
    </row>
    <row r="191" spans="2:3" x14ac:dyDescent="0.25">
      <c r="B191">
        <v>182</v>
      </c>
      <c r="C191">
        <v>150.37076397410561</v>
      </c>
    </row>
    <row r="192" spans="2:3" x14ac:dyDescent="0.25">
      <c r="B192">
        <v>183</v>
      </c>
      <c r="C192">
        <v>148.95096698803033</v>
      </c>
    </row>
    <row r="193" spans="2:3" x14ac:dyDescent="0.25">
      <c r="B193">
        <v>184</v>
      </c>
      <c r="C193">
        <v>150.37076397410561</v>
      </c>
    </row>
    <row r="194" spans="2:3" x14ac:dyDescent="0.25">
      <c r="B194">
        <v>185</v>
      </c>
      <c r="C194">
        <v>148.95096698803033</v>
      </c>
    </row>
    <row r="195" spans="2:3" x14ac:dyDescent="0.25">
      <c r="B195">
        <v>186</v>
      </c>
      <c r="C195">
        <v>147.54457568952614</v>
      </c>
    </row>
    <row r="196" spans="2:3" x14ac:dyDescent="0.25">
      <c r="B196">
        <v>187</v>
      </c>
      <c r="C196">
        <v>148.95096698803033</v>
      </c>
    </row>
    <row r="197" spans="2:3" x14ac:dyDescent="0.25">
      <c r="B197">
        <v>188</v>
      </c>
      <c r="C197">
        <v>147.54457568952614</v>
      </c>
    </row>
    <row r="198" spans="2:3" x14ac:dyDescent="0.25">
      <c r="B198">
        <v>189</v>
      </c>
      <c r="C198">
        <v>148.95096698803033</v>
      </c>
    </row>
    <row r="199" spans="2:3" x14ac:dyDescent="0.25">
      <c r="B199">
        <v>190</v>
      </c>
      <c r="C199">
        <v>147.54457568952614</v>
      </c>
    </row>
    <row r="200" spans="2:3" x14ac:dyDescent="0.25">
      <c r="B200">
        <v>191</v>
      </c>
      <c r="C200">
        <v>148.95096698803033</v>
      </c>
    </row>
    <row r="201" spans="2:3" x14ac:dyDescent="0.25">
      <c r="B201">
        <v>192</v>
      </c>
      <c r="C201">
        <v>147.54457568952614</v>
      </c>
    </row>
    <row r="202" spans="2:3" x14ac:dyDescent="0.25">
      <c r="B202">
        <v>193</v>
      </c>
      <c r="C202">
        <v>148.95096698803033</v>
      </c>
    </row>
    <row r="203" spans="2:3" x14ac:dyDescent="0.25">
      <c r="B203">
        <v>194</v>
      </c>
      <c r="C203">
        <v>147.54457568952614</v>
      </c>
    </row>
    <row r="204" spans="2:3" x14ac:dyDescent="0.25">
      <c r="B204">
        <v>195</v>
      </c>
      <c r="C204">
        <v>148.95096698803033</v>
      </c>
    </row>
    <row r="205" spans="2:3" x14ac:dyDescent="0.25">
      <c r="B205">
        <v>196</v>
      </c>
      <c r="C205">
        <v>147.54457568952614</v>
      </c>
    </row>
    <row r="206" spans="2:3" x14ac:dyDescent="0.25">
      <c r="B206">
        <v>197</v>
      </c>
      <c r="C206">
        <v>148.95096698803033</v>
      </c>
    </row>
    <row r="207" spans="2:3" x14ac:dyDescent="0.25">
      <c r="B207">
        <v>198</v>
      </c>
      <c r="C207">
        <v>147.54457568952614</v>
      </c>
    </row>
    <row r="208" spans="2:3" x14ac:dyDescent="0.25">
      <c r="B208">
        <v>199</v>
      </c>
      <c r="C208">
        <v>148.95096698803033</v>
      </c>
    </row>
    <row r="209" spans="2:3" x14ac:dyDescent="0.25">
      <c r="B209">
        <v>200</v>
      </c>
      <c r="C209">
        <v>147.54457568952614</v>
      </c>
    </row>
    <row r="210" spans="2:3" x14ac:dyDescent="0.25">
      <c r="B210">
        <v>201</v>
      </c>
      <c r="C210">
        <v>148.95096698803033</v>
      </c>
    </row>
    <row r="211" spans="2:3" x14ac:dyDescent="0.25">
      <c r="B211">
        <v>202</v>
      </c>
      <c r="C211">
        <v>147.54457568952614</v>
      </c>
    </row>
    <row r="212" spans="2:3" x14ac:dyDescent="0.25">
      <c r="B212">
        <v>203</v>
      </c>
      <c r="C212">
        <v>148.95096698803033</v>
      </c>
    </row>
    <row r="213" spans="2:3" x14ac:dyDescent="0.25">
      <c r="B213">
        <v>204</v>
      </c>
      <c r="C213">
        <v>147.54457568952614</v>
      </c>
    </row>
    <row r="214" spans="2:3" x14ac:dyDescent="0.25">
      <c r="B214">
        <v>205</v>
      </c>
      <c r="C214">
        <v>146.15146350242691</v>
      </c>
    </row>
    <row r="215" spans="2:3" x14ac:dyDescent="0.25">
      <c r="B215">
        <v>206</v>
      </c>
      <c r="C215">
        <v>147.54457568952614</v>
      </c>
    </row>
    <row r="216" spans="2:3" x14ac:dyDescent="0.25">
      <c r="B216">
        <v>207</v>
      </c>
      <c r="C216">
        <v>146.15146350242691</v>
      </c>
    </row>
    <row r="217" spans="2:3" x14ac:dyDescent="0.25">
      <c r="B217">
        <v>208</v>
      </c>
      <c r="C217">
        <v>147.54457568952614</v>
      </c>
    </row>
    <row r="218" spans="2:3" x14ac:dyDescent="0.25">
      <c r="B218">
        <v>209</v>
      </c>
      <c r="C218">
        <v>146.15146350242691</v>
      </c>
    </row>
    <row r="219" spans="2:3" x14ac:dyDescent="0.25">
      <c r="B219">
        <v>210</v>
      </c>
      <c r="C219">
        <v>147.54457568952614</v>
      </c>
    </row>
    <row r="220" spans="2:3" x14ac:dyDescent="0.25">
      <c r="B220">
        <v>211</v>
      </c>
      <c r="C220">
        <v>146.15146350242691</v>
      </c>
    </row>
    <row r="221" spans="2:3" x14ac:dyDescent="0.25">
      <c r="B221">
        <v>212</v>
      </c>
      <c r="C221">
        <v>147.54457568952614</v>
      </c>
    </row>
    <row r="222" spans="2:3" x14ac:dyDescent="0.25">
      <c r="B222">
        <v>213</v>
      </c>
      <c r="C222">
        <v>146.15146350242691</v>
      </c>
    </row>
    <row r="223" spans="2:3" x14ac:dyDescent="0.25">
      <c r="B223">
        <v>214</v>
      </c>
      <c r="C223">
        <v>147.54457568952614</v>
      </c>
    </row>
    <row r="224" spans="2:3" x14ac:dyDescent="0.25">
      <c r="B224">
        <v>215</v>
      </c>
      <c r="C224">
        <v>146.15146350242691</v>
      </c>
    </row>
    <row r="225" spans="2:3" x14ac:dyDescent="0.25">
      <c r="B225">
        <v>216</v>
      </c>
      <c r="C225">
        <v>147.54457568952614</v>
      </c>
    </row>
    <row r="226" spans="2:3" x14ac:dyDescent="0.25">
      <c r="B226">
        <v>217</v>
      </c>
      <c r="C226">
        <v>146.15146350242691</v>
      </c>
    </row>
    <row r="227" spans="2:3" x14ac:dyDescent="0.25">
      <c r="B227">
        <v>218</v>
      </c>
      <c r="C227">
        <v>147.54457568952614</v>
      </c>
    </row>
    <row r="228" spans="2:3" x14ac:dyDescent="0.25">
      <c r="B228">
        <v>219</v>
      </c>
      <c r="C228">
        <v>146.15146350242691</v>
      </c>
    </row>
    <row r="229" spans="2:3" x14ac:dyDescent="0.25">
      <c r="B229">
        <v>220</v>
      </c>
      <c r="C229">
        <v>147.54457568952614</v>
      </c>
    </row>
    <row r="230" spans="2:3" x14ac:dyDescent="0.25">
      <c r="B230">
        <v>221</v>
      </c>
      <c r="C230">
        <v>146.15146350242691</v>
      </c>
    </row>
    <row r="231" spans="2:3" x14ac:dyDescent="0.25">
      <c r="B231">
        <v>222</v>
      </c>
      <c r="C231">
        <v>144.77150504569542</v>
      </c>
    </row>
    <row r="232" spans="2:3" x14ac:dyDescent="0.25">
      <c r="B232">
        <v>223</v>
      </c>
      <c r="C232">
        <v>146.15146350242691</v>
      </c>
    </row>
    <row r="233" spans="2:3" x14ac:dyDescent="0.25">
      <c r="B233">
        <v>224</v>
      </c>
      <c r="C233">
        <v>144.77150504569542</v>
      </c>
    </row>
    <row r="234" spans="2:3" x14ac:dyDescent="0.25">
      <c r="B234">
        <v>225</v>
      </c>
      <c r="C234">
        <v>146.15146350242691</v>
      </c>
    </row>
    <row r="235" spans="2:3" x14ac:dyDescent="0.25">
      <c r="B235">
        <v>226</v>
      </c>
      <c r="C235">
        <v>144.77150504569542</v>
      </c>
    </row>
    <row r="236" spans="2:3" x14ac:dyDescent="0.25">
      <c r="B236">
        <v>227</v>
      </c>
      <c r="C236">
        <v>146.15146350242691</v>
      </c>
    </row>
    <row r="237" spans="2:3" x14ac:dyDescent="0.25">
      <c r="B237">
        <v>228</v>
      </c>
      <c r="C237">
        <v>144.77150504569542</v>
      </c>
    </row>
    <row r="238" spans="2:3" x14ac:dyDescent="0.25">
      <c r="B238">
        <v>229</v>
      </c>
      <c r="C238">
        <v>146.15146350242691</v>
      </c>
    </row>
    <row r="239" spans="2:3" x14ac:dyDescent="0.25">
      <c r="B239">
        <v>230</v>
      </c>
      <c r="C239">
        <v>144.77150504569542</v>
      </c>
    </row>
    <row r="240" spans="2:3" x14ac:dyDescent="0.25">
      <c r="B240">
        <v>231</v>
      </c>
      <c r="C240">
        <v>146.15146350242691</v>
      </c>
    </row>
    <row r="241" spans="2:3" x14ac:dyDescent="0.25">
      <c r="B241">
        <v>232</v>
      </c>
      <c r="C241">
        <v>144.77150504569542</v>
      </c>
    </row>
    <row r="242" spans="2:3" x14ac:dyDescent="0.25">
      <c r="B242">
        <v>233</v>
      </c>
      <c r="C242">
        <v>146.15146350242691</v>
      </c>
    </row>
    <row r="243" spans="2:3" x14ac:dyDescent="0.25">
      <c r="B243">
        <v>234</v>
      </c>
      <c r="C243">
        <v>144.77150504569542</v>
      </c>
    </row>
    <row r="244" spans="2:3" x14ac:dyDescent="0.25">
      <c r="B244">
        <v>235</v>
      </c>
      <c r="C244">
        <v>146.15146350242691</v>
      </c>
    </row>
    <row r="245" spans="2:3" x14ac:dyDescent="0.25">
      <c r="B245">
        <v>236</v>
      </c>
      <c r="C245">
        <v>144.77150504569542</v>
      </c>
    </row>
    <row r="246" spans="2:3" x14ac:dyDescent="0.25">
      <c r="B246">
        <v>237</v>
      </c>
      <c r="C246">
        <v>143.4045761221391</v>
      </c>
    </row>
    <row r="247" spans="2:3" x14ac:dyDescent="0.25">
      <c r="B247">
        <v>238</v>
      </c>
      <c r="C247">
        <v>144.77150504569542</v>
      </c>
    </row>
    <row r="248" spans="2:3" x14ac:dyDescent="0.25">
      <c r="B248">
        <v>239</v>
      </c>
      <c r="C248">
        <v>143.4045761221391</v>
      </c>
    </row>
    <row r="249" spans="2:3" x14ac:dyDescent="0.25">
      <c r="B249">
        <v>240</v>
      </c>
      <c r="C249">
        <v>144.77150504569542</v>
      </c>
    </row>
    <row r="250" spans="2:3" x14ac:dyDescent="0.25">
      <c r="B250">
        <v>241</v>
      </c>
      <c r="C250">
        <v>143.4045761221391</v>
      </c>
    </row>
    <row r="251" spans="2:3" x14ac:dyDescent="0.25">
      <c r="B251">
        <v>242</v>
      </c>
      <c r="C251">
        <v>144.77150504569542</v>
      </c>
    </row>
    <row r="252" spans="2:3" x14ac:dyDescent="0.25">
      <c r="B252">
        <v>243</v>
      </c>
      <c r="C252">
        <v>143.4045761221391</v>
      </c>
    </row>
    <row r="253" spans="2:3" x14ac:dyDescent="0.25">
      <c r="B253">
        <v>244</v>
      </c>
      <c r="C253">
        <v>144.77150504569542</v>
      </c>
    </row>
    <row r="254" spans="2:3" x14ac:dyDescent="0.25">
      <c r="B254">
        <v>245</v>
      </c>
      <c r="C254">
        <v>143.4045761221391</v>
      </c>
    </row>
    <row r="255" spans="2:3" x14ac:dyDescent="0.25">
      <c r="B255">
        <v>246</v>
      </c>
      <c r="C255">
        <v>144.77150504569542</v>
      </c>
    </row>
    <row r="256" spans="2:3" x14ac:dyDescent="0.25">
      <c r="B256">
        <v>247</v>
      </c>
      <c r="C256">
        <v>143.4045761221391</v>
      </c>
    </row>
    <row r="257" spans="2:3" x14ac:dyDescent="0.25">
      <c r="B257">
        <v>248</v>
      </c>
      <c r="C257">
        <v>144.77150504569542</v>
      </c>
    </row>
    <row r="258" spans="2:3" x14ac:dyDescent="0.25">
      <c r="B258">
        <v>249</v>
      </c>
      <c r="C258">
        <v>143.4045761221391</v>
      </c>
    </row>
    <row r="259" spans="2:3" x14ac:dyDescent="0.25">
      <c r="B259">
        <v>250</v>
      </c>
      <c r="C259">
        <v>144.77150504569542</v>
      </c>
    </row>
    <row r="260" spans="2:3" x14ac:dyDescent="0.25">
      <c r="B260">
        <v>251</v>
      </c>
      <c r="C260">
        <v>143.4045761221391</v>
      </c>
    </row>
    <row r="261" spans="2:3" x14ac:dyDescent="0.25">
      <c r="B261">
        <v>252</v>
      </c>
      <c r="C261">
        <v>144.77150504569542</v>
      </c>
    </row>
    <row r="262" spans="2:3" x14ac:dyDescent="0.25">
      <c r="B262">
        <v>253</v>
      </c>
      <c r="C262">
        <v>143.4045761221391</v>
      </c>
    </row>
    <row r="263" spans="2:3" x14ac:dyDescent="0.25">
      <c r="B263">
        <v>254</v>
      </c>
      <c r="C263">
        <v>142.05055370723215</v>
      </c>
    </row>
    <row r="264" spans="2:3" x14ac:dyDescent="0.25">
      <c r="B264">
        <v>255</v>
      </c>
      <c r="C264">
        <v>143.4045761221391</v>
      </c>
    </row>
    <row r="265" spans="2:3" x14ac:dyDescent="0.25">
      <c r="B265">
        <v>256</v>
      </c>
      <c r="C265">
        <v>142.05055370723215</v>
      </c>
    </row>
    <row r="266" spans="2:3" x14ac:dyDescent="0.25">
      <c r="B266">
        <v>257</v>
      </c>
      <c r="C266">
        <v>143.4045761221391</v>
      </c>
    </row>
    <row r="267" spans="2:3" x14ac:dyDescent="0.25">
      <c r="B267">
        <v>258</v>
      </c>
      <c r="C267">
        <v>142.05055370723215</v>
      </c>
    </row>
    <row r="268" spans="2:3" x14ac:dyDescent="0.25">
      <c r="B268">
        <v>259</v>
      </c>
      <c r="C268">
        <v>143.4045761221391</v>
      </c>
    </row>
    <row r="269" spans="2:3" x14ac:dyDescent="0.25">
      <c r="B269">
        <v>260</v>
      </c>
      <c r="C269">
        <v>142.05055370723215</v>
      </c>
    </row>
    <row r="270" spans="2:3" x14ac:dyDescent="0.25">
      <c r="B270">
        <v>261</v>
      </c>
      <c r="C270">
        <v>143.4045761221391</v>
      </c>
    </row>
    <row r="271" spans="2:3" x14ac:dyDescent="0.25">
      <c r="B271">
        <v>262</v>
      </c>
      <c r="C271">
        <v>142.05055370723215</v>
      </c>
    </row>
    <row r="272" spans="2:3" x14ac:dyDescent="0.25">
      <c r="B272">
        <v>263</v>
      </c>
      <c r="C272">
        <v>143.4045761221391</v>
      </c>
    </row>
    <row r="273" spans="2:3" x14ac:dyDescent="0.25">
      <c r="B273">
        <v>264</v>
      </c>
      <c r="C273">
        <v>142.05055370723215</v>
      </c>
    </row>
    <row r="274" spans="2:3" x14ac:dyDescent="0.25">
      <c r="B274">
        <v>265</v>
      </c>
      <c r="C274">
        <v>143.4045761221391</v>
      </c>
    </row>
    <row r="275" spans="2:3" x14ac:dyDescent="0.25">
      <c r="B275">
        <v>266</v>
      </c>
      <c r="C275">
        <v>142.05055370723215</v>
      </c>
    </row>
    <row r="276" spans="2:3" x14ac:dyDescent="0.25">
      <c r="B276">
        <v>267</v>
      </c>
      <c r="C276">
        <v>143.4045761221391</v>
      </c>
    </row>
    <row r="277" spans="2:3" x14ac:dyDescent="0.25">
      <c r="B277">
        <v>268</v>
      </c>
      <c r="C277">
        <v>142.05055370723215</v>
      </c>
    </row>
    <row r="278" spans="2:3" x14ac:dyDescent="0.25">
      <c r="B278">
        <v>269</v>
      </c>
      <c r="C278">
        <v>140.70931593804329</v>
      </c>
    </row>
    <row r="279" spans="2:3" x14ac:dyDescent="0.25">
      <c r="B279">
        <v>270</v>
      </c>
      <c r="C279">
        <v>142.05055370723215</v>
      </c>
    </row>
    <row r="280" spans="2:3" x14ac:dyDescent="0.25">
      <c r="B280">
        <v>271</v>
      </c>
      <c r="C280">
        <v>140.70931593804329</v>
      </c>
    </row>
    <row r="281" spans="2:3" x14ac:dyDescent="0.25">
      <c r="B281">
        <v>272</v>
      </c>
      <c r="C281">
        <v>142.05055370723215</v>
      </c>
    </row>
    <row r="282" spans="2:3" x14ac:dyDescent="0.25">
      <c r="B282">
        <v>273</v>
      </c>
      <c r="C282">
        <v>140.70931593804329</v>
      </c>
    </row>
    <row r="283" spans="2:3" x14ac:dyDescent="0.25">
      <c r="B283">
        <v>274</v>
      </c>
      <c r="C283">
        <v>142.05055370723215</v>
      </c>
    </row>
    <row r="284" spans="2:3" x14ac:dyDescent="0.25">
      <c r="B284">
        <v>275</v>
      </c>
      <c r="C284">
        <v>140.70931593804329</v>
      </c>
    </row>
    <row r="285" spans="2:3" x14ac:dyDescent="0.25">
      <c r="B285">
        <v>276</v>
      </c>
      <c r="C285">
        <v>142.05055370723215</v>
      </c>
    </row>
    <row r="286" spans="2:3" x14ac:dyDescent="0.25">
      <c r="B286">
        <v>277</v>
      </c>
      <c r="C286">
        <v>140.70931593804329</v>
      </c>
    </row>
    <row r="287" spans="2:3" x14ac:dyDescent="0.25">
      <c r="B287">
        <v>278</v>
      </c>
      <c r="C287">
        <v>142.05055370723215</v>
      </c>
    </row>
    <row r="288" spans="2:3" x14ac:dyDescent="0.25">
      <c r="B288">
        <v>279</v>
      </c>
      <c r="C288">
        <v>140.70931593804329</v>
      </c>
    </row>
    <row r="289" spans="2:3" x14ac:dyDescent="0.25">
      <c r="B289">
        <v>280</v>
      </c>
      <c r="C289">
        <v>142.05055370723215</v>
      </c>
    </row>
    <row r="290" spans="2:3" x14ac:dyDescent="0.25">
      <c r="B290">
        <v>281</v>
      </c>
      <c r="C290">
        <v>140.70931593804329</v>
      </c>
    </row>
    <row r="291" spans="2:3" x14ac:dyDescent="0.25">
      <c r="B291">
        <v>282</v>
      </c>
      <c r="C291">
        <v>139.3807421022679</v>
      </c>
    </row>
    <row r="292" spans="2:3" x14ac:dyDescent="0.25">
      <c r="B292">
        <v>283</v>
      </c>
      <c r="C292">
        <v>140.70931593804329</v>
      </c>
    </row>
    <row r="293" spans="2:3" x14ac:dyDescent="0.25">
      <c r="B293">
        <v>284</v>
      </c>
      <c r="C293">
        <v>139.3807421022679</v>
      </c>
    </row>
    <row r="294" spans="2:3" x14ac:dyDescent="0.25">
      <c r="B294">
        <v>285</v>
      </c>
      <c r="C294">
        <v>140.70931593804329</v>
      </c>
    </row>
    <row r="295" spans="2:3" x14ac:dyDescent="0.25">
      <c r="B295">
        <v>286</v>
      </c>
      <c r="C295">
        <v>139.3807421022679</v>
      </c>
    </row>
    <row r="296" spans="2:3" x14ac:dyDescent="0.25">
      <c r="B296">
        <v>287</v>
      </c>
      <c r="C296">
        <v>140.70931593804329</v>
      </c>
    </row>
    <row r="297" spans="2:3" x14ac:dyDescent="0.25">
      <c r="B297">
        <v>288</v>
      </c>
      <c r="C297">
        <v>139.3807421022679</v>
      </c>
    </row>
    <row r="298" spans="2:3" x14ac:dyDescent="0.25">
      <c r="B298">
        <v>289</v>
      </c>
      <c r="C298">
        <v>140.70931593804329</v>
      </c>
    </row>
    <row r="299" spans="2:3" x14ac:dyDescent="0.25">
      <c r="B299">
        <v>290</v>
      </c>
      <c r="C299">
        <v>139.3807421022679</v>
      </c>
    </row>
    <row r="300" spans="2:3" x14ac:dyDescent="0.25">
      <c r="B300">
        <v>291</v>
      </c>
      <c r="C300">
        <v>140.70931593804329</v>
      </c>
    </row>
    <row r="301" spans="2:3" x14ac:dyDescent="0.25">
      <c r="B301">
        <v>292</v>
      </c>
      <c r="C301">
        <v>139.3807421022679</v>
      </c>
    </row>
    <row r="302" spans="2:3" x14ac:dyDescent="0.25">
      <c r="B302">
        <v>293</v>
      </c>
      <c r="C302">
        <v>140.70931593804329</v>
      </c>
    </row>
    <row r="303" spans="2:3" x14ac:dyDescent="0.25">
      <c r="B303">
        <v>294</v>
      </c>
      <c r="C303">
        <v>139.3807421022679</v>
      </c>
    </row>
    <row r="304" spans="2:3" x14ac:dyDescent="0.25">
      <c r="B304">
        <v>295</v>
      </c>
      <c r="C304">
        <v>140.70931593804329</v>
      </c>
    </row>
    <row r="305" spans="2:3" x14ac:dyDescent="0.25">
      <c r="B305">
        <v>296</v>
      </c>
      <c r="C305">
        <v>139.3807421022679</v>
      </c>
    </row>
    <row r="306" spans="2:3" x14ac:dyDescent="0.25">
      <c r="B306">
        <v>297</v>
      </c>
      <c r="C306">
        <v>138.064712627364</v>
      </c>
    </row>
    <row r="307" spans="2:3" x14ac:dyDescent="0.25">
      <c r="B307">
        <v>298</v>
      </c>
      <c r="C307">
        <v>139.3807421022679</v>
      </c>
    </row>
    <row r="308" spans="2:3" x14ac:dyDescent="0.25">
      <c r="B308">
        <v>299</v>
      </c>
      <c r="C308">
        <v>138.064712627364</v>
      </c>
    </row>
    <row r="309" spans="2:3" x14ac:dyDescent="0.25">
      <c r="B309">
        <v>300</v>
      </c>
      <c r="C309">
        <v>139.3807421022679</v>
      </c>
    </row>
    <row r="310" spans="2:3" x14ac:dyDescent="0.25">
      <c r="B310">
        <v>301</v>
      </c>
      <c r="C310">
        <v>138.064712627364</v>
      </c>
    </row>
    <row r="311" spans="2:3" x14ac:dyDescent="0.25">
      <c r="B311">
        <v>302</v>
      </c>
      <c r="C311">
        <v>139.3807421022679</v>
      </c>
    </row>
    <row r="312" spans="2:3" x14ac:dyDescent="0.25">
      <c r="B312">
        <v>303</v>
      </c>
      <c r="C312">
        <v>138.064712627364</v>
      </c>
    </row>
    <row r="313" spans="2:3" x14ac:dyDescent="0.25">
      <c r="B313">
        <v>304</v>
      </c>
      <c r="C313">
        <v>139.3807421022679</v>
      </c>
    </row>
    <row r="314" spans="2:3" x14ac:dyDescent="0.25">
      <c r="B314">
        <v>305</v>
      </c>
      <c r="C314">
        <v>138.064712627364</v>
      </c>
    </row>
    <row r="315" spans="2:3" x14ac:dyDescent="0.25">
      <c r="B315">
        <v>306</v>
      </c>
      <c r="C315">
        <v>139.3807421022679</v>
      </c>
    </row>
    <row r="316" spans="2:3" x14ac:dyDescent="0.25">
      <c r="B316">
        <v>307</v>
      </c>
      <c r="C316">
        <v>138.064712627364</v>
      </c>
    </row>
    <row r="317" spans="2:3" x14ac:dyDescent="0.25">
      <c r="B317">
        <v>308</v>
      </c>
      <c r="C317">
        <v>139.3807421022679</v>
      </c>
    </row>
    <row r="318" spans="2:3" x14ac:dyDescent="0.25">
      <c r="B318">
        <v>309</v>
      </c>
      <c r="C318">
        <v>138.064712627364</v>
      </c>
    </row>
    <row r="319" spans="2:3" x14ac:dyDescent="0.25">
      <c r="B319">
        <v>310</v>
      </c>
      <c r="C319">
        <v>136.76110906979054</v>
      </c>
    </row>
    <row r="320" spans="2:3" x14ac:dyDescent="0.25">
      <c r="B320">
        <v>311</v>
      </c>
      <c r="C320">
        <v>138.064712627364</v>
      </c>
    </row>
    <row r="321" spans="2:3" x14ac:dyDescent="0.25">
      <c r="B321">
        <v>312</v>
      </c>
      <c r="C321">
        <v>136.76110906979054</v>
      </c>
    </row>
    <row r="322" spans="2:3" x14ac:dyDescent="0.25">
      <c r="B322">
        <v>313</v>
      </c>
      <c r="C322">
        <v>138.064712627364</v>
      </c>
    </row>
    <row r="323" spans="2:3" x14ac:dyDescent="0.25">
      <c r="B323">
        <v>314</v>
      </c>
      <c r="C323">
        <v>136.76110906979054</v>
      </c>
    </row>
    <row r="324" spans="2:3" x14ac:dyDescent="0.25">
      <c r="B324">
        <v>315</v>
      </c>
      <c r="C324">
        <v>138.064712627364</v>
      </c>
    </row>
    <row r="325" spans="2:3" x14ac:dyDescent="0.25">
      <c r="B325">
        <v>316</v>
      </c>
      <c r="C325">
        <v>136.76110906979054</v>
      </c>
    </row>
    <row r="326" spans="2:3" x14ac:dyDescent="0.25">
      <c r="B326">
        <v>317</v>
      </c>
      <c r="C326">
        <v>138.064712627364</v>
      </c>
    </row>
    <row r="327" spans="2:3" x14ac:dyDescent="0.25">
      <c r="B327">
        <v>318</v>
      </c>
      <c r="C327">
        <v>136.76110906979054</v>
      </c>
    </row>
    <row r="328" spans="2:3" x14ac:dyDescent="0.25">
      <c r="B328">
        <v>319</v>
      </c>
      <c r="C328">
        <v>138.064712627364</v>
      </c>
    </row>
    <row r="329" spans="2:3" x14ac:dyDescent="0.25">
      <c r="B329">
        <v>320</v>
      </c>
      <c r="C329">
        <v>136.76110906979054</v>
      </c>
    </row>
    <row r="330" spans="2:3" x14ac:dyDescent="0.25">
      <c r="B330">
        <v>321</v>
      </c>
      <c r="C330">
        <v>138.064712627364</v>
      </c>
    </row>
    <row r="331" spans="2:3" x14ac:dyDescent="0.25">
      <c r="B331">
        <v>322</v>
      </c>
      <c r="C331">
        <v>136.76110906979054</v>
      </c>
    </row>
    <row r="332" spans="2:3" x14ac:dyDescent="0.25">
      <c r="B332">
        <v>323</v>
      </c>
      <c r="C332">
        <v>135.46981410434736</v>
      </c>
    </row>
    <row r="333" spans="2:3" x14ac:dyDescent="0.25">
      <c r="B333">
        <v>324</v>
      </c>
      <c r="C333">
        <v>136.76110906979054</v>
      </c>
    </row>
    <row r="334" spans="2:3" x14ac:dyDescent="0.25">
      <c r="B334">
        <v>325</v>
      </c>
      <c r="C334">
        <v>135.46981410434736</v>
      </c>
    </row>
    <row r="335" spans="2:3" x14ac:dyDescent="0.25">
      <c r="B335">
        <v>326</v>
      </c>
      <c r="C335">
        <v>136.76110906979054</v>
      </c>
    </row>
    <row r="336" spans="2:3" x14ac:dyDescent="0.25">
      <c r="B336">
        <v>327</v>
      </c>
      <c r="C336">
        <v>135.46981410434736</v>
      </c>
    </row>
    <row r="337" spans="2:3" x14ac:dyDescent="0.25">
      <c r="B337">
        <v>328</v>
      </c>
      <c r="C337">
        <v>136.76110906979054</v>
      </c>
    </row>
    <row r="338" spans="2:3" x14ac:dyDescent="0.25">
      <c r="B338">
        <v>329</v>
      </c>
      <c r="C338">
        <v>135.46981410434736</v>
      </c>
    </row>
    <row r="339" spans="2:3" x14ac:dyDescent="0.25">
      <c r="B339">
        <v>330</v>
      </c>
      <c r="C339">
        <v>136.76110906979054</v>
      </c>
    </row>
    <row r="340" spans="2:3" x14ac:dyDescent="0.25">
      <c r="B340">
        <v>331</v>
      </c>
      <c r="C340">
        <v>135.46981410434736</v>
      </c>
    </row>
    <row r="341" spans="2:3" x14ac:dyDescent="0.25">
      <c r="B341">
        <v>332</v>
      </c>
      <c r="C341">
        <v>136.76110906979054</v>
      </c>
    </row>
    <row r="342" spans="2:3" x14ac:dyDescent="0.25">
      <c r="B342">
        <v>333</v>
      </c>
      <c r="C342">
        <v>135.46981410434736</v>
      </c>
    </row>
    <row r="343" spans="2:3" x14ac:dyDescent="0.25">
      <c r="B343">
        <v>334</v>
      </c>
      <c r="C343">
        <v>136.76110906979054</v>
      </c>
    </row>
    <row r="344" spans="2:3" x14ac:dyDescent="0.25">
      <c r="B344">
        <v>335</v>
      </c>
      <c r="C344">
        <v>135.46981410434736</v>
      </c>
    </row>
    <row r="345" spans="2:3" x14ac:dyDescent="0.25">
      <c r="B345">
        <v>336</v>
      </c>
      <c r="C345">
        <v>134.19071151361598</v>
      </c>
    </row>
    <row r="346" spans="2:3" x14ac:dyDescent="0.25">
      <c r="B346">
        <v>337</v>
      </c>
      <c r="C346">
        <v>135.46981410434736</v>
      </c>
    </row>
    <row r="347" spans="2:3" x14ac:dyDescent="0.25">
      <c r="B347">
        <v>338</v>
      </c>
      <c r="C347">
        <v>134.19071151361598</v>
      </c>
    </row>
    <row r="348" spans="2:3" x14ac:dyDescent="0.25">
      <c r="B348">
        <v>339</v>
      </c>
      <c r="C348">
        <v>135.46981410434736</v>
      </c>
    </row>
    <row r="349" spans="2:3" x14ac:dyDescent="0.25">
      <c r="B349">
        <v>340</v>
      </c>
      <c r="C349">
        <v>134.19071151361598</v>
      </c>
    </row>
    <row r="350" spans="2:3" x14ac:dyDescent="0.25">
      <c r="B350">
        <v>341</v>
      </c>
      <c r="C350">
        <v>135.46981410434736</v>
      </c>
    </row>
    <row r="351" spans="2:3" x14ac:dyDescent="0.25">
      <c r="B351">
        <v>342</v>
      </c>
      <c r="C351">
        <v>134.19071151361598</v>
      </c>
    </row>
    <row r="352" spans="2:3" x14ac:dyDescent="0.25">
      <c r="B352">
        <v>343</v>
      </c>
      <c r="C352">
        <v>135.46981410434736</v>
      </c>
    </row>
    <row r="353" spans="2:3" x14ac:dyDescent="0.25">
      <c r="B353">
        <v>344</v>
      </c>
      <c r="C353">
        <v>134.19071151361598</v>
      </c>
    </row>
    <row r="354" spans="2:3" x14ac:dyDescent="0.25">
      <c r="B354">
        <v>345</v>
      </c>
      <c r="C354">
        <v>135.46981410434736</v>
      </c>
    </row>
    <row r="355" spans="2:3" x14ac:dyDescent="0.25">
      <c r="B355">
        <v>346</v>
      </c>
      <c r="C355">
        <v>134.19071151361598</v>
      </c>
    </row>
    <row r="356" spans="2:3" x14ac:dyDescent="0.25">
      <c r="B356">
        <v>347</v>
      </c>
      <c r="C356">
        <v>132.92368617749983</v>
      </c>
    </row>
    <row r="357" spans="2:3" x14ac:dyDescent="0.25">
      <c r="B357">
        <v>348</v>
      </c>
      <c r="C357">
        <v>134.19071151361598</v>
      </c>
    </row>
    <row r="358" spans="2:3" x14ac:dyDescent="0.25">
      <c r="B358">
        <v>349</v>
      </c>
      <c r="C358">
        <v>132.92368617749983</v>
      </c>
    </row>
    <row r="359" spans="2:3" x14ac:dyDescent="0.25">
      <c r="B359">
        <v>350</v>
      </c>
      <c r="C359">
        <v>134.19071151361598</v>
      </c>
    </row>
    <row r="360" spans="2:3" x14ac:dyDescent="0.25">
      <c r="B360">
        <v>351</v>
      </c>
      <c r="C360">
        <v>132.92368617749983</v>
      </c>
    </row>
    <row r="361" spans="2:3" x14ac:dyDescent="0.25">
      <c r="B361">
        <v>352</v>
      </c>
      <c r="C361">
        <v>134.19071151361598</v>
      </c>
    </row>
    <row r="362" spans="2:3" x14ac:dyDescent="0.25">
      <c r="B362">
        <v>353</v>
      </c>
      <c r="C362">
        <v>132.92368617749983</v>
      </c>
    </row>
    <row r="363" spans="2:3" x14ac:dyDescent="0.25">
      <c r="B363">
        <v>354</v>
      </c>
      <c r="C363">
        <v>134.19071151361598</v>
      </c>
    </row>
    <row r="364" spans="2:3" x14ac:dyDescent="0.25">
      <c r="B364">
        <v>355</v>
      </c>
      <c r="C364">
        <v>132.92368617749983</v>
      </c>
    </row>
    <row r="365" spans="2:3" x14ac:dyDescent="0.25">
      <c r="B365">
        <v>356</v>
      </c>
      <c r="C365">
        <v>134.19071151361598</v>
      </c>
    </row>
    <row r="366" spans="2:3" x14ac:dyDescent="0.25">
      <c r="B366">
        <v>357</v>
      </c>
      <c r="C366">
        <v>132.92368617749983</v>
      </c>
    </row>
    <row r="367" spans="2:3" x14ac:dyDescent="0.25">
      <c r="B367">
        <v>358</v>
      </c>
      <c r="C367">
        <v>134.19071151361598</v>
      </c>
    </row>
    <row r="368" spans="2:3" x14ac:dyDescent="0.25">
      <c r="B368">
        <v>359</v>
      </c>
      <c r="C368">
        <v>132.92368617749983</v>
      </c>
    </row>
    <row r="369" spans="2:3" x14ac:dyDescent="0.25">
      <c r="B369">
        <v>360</v>
      </c>
      <c r="C369">
        <v>131.66862406286342</v>
      </c>
    </row>
    <row r="370" spans="2:3" x14ac:dyDescent="0.25">
      <c r="B370">
        <v>361</v>
      </c>
      <c r="C370">
        <v>132.92368617749983</v>
      </c>
    </row>
    <row r="371" spans="2:3" x14ac:dyDescent="0.25">
      <c r="B371">
        <v>362</v>
      </c>
      <c r="C371">
        <v>131.66862406286342</v>
      </c>
    </row>
    <row r="372" spans="2:3" x14ac:dyDescent="0.25">
      <c r="B372">
        <v>363</v>
      </c>
      <c r="C372">
        <v>132.92368617749983</v>
      </c>
    </row>
    <row r="373" spans="2:3" x14ac:dyDescent="0.25">
      <c r="B373">
        <v>364</v>
      </c>
      <c r="C373">
        <v>131.66862406286342</v>
      </c>
    </row>
    <row r="374" spans="2:3" x14ac:dyDescent="0.25">
      <c r="B374">
        <v>365</v>
      </c>
      <c r="C374">
        <v>132.92368617749983</v>
      </c>
    </row>
    <row r="375" spans="2:3" x14ac:dyDescent="0.25">
      <c r="B375">
        <v>366</v>
      </c>
      <c r="C375">
        <v>131.66862406286342</v>
      </c>
    </row>
    <row r="376" spans="2:3" x14ac:dyDescent="0.25">
      <c r="B376">
        <v>367</v>
      </c>
      <c r="C376">
        <v>132.92368617749983</v>
      </c>
    </row>
    <row r="377" spans="2:3" x14ac:dyDescent="0.25">
      <c r="B377">
        <v>368</v>
      </c>
      <c r="C377">
        <v>131.66862406286342</v>
      </c>
    </row>
    <row r="378" spans="2:3" x14ac:dyDescent="0.25">
      <c r="B378">
        <v>369</v>
      </c>
      <c r="C378">
        <v>132.92368617749983</v>
      </c>
    </row>
    <row r="379" spans="2:3" x14ac:dyDescent="0.25">
      <c r="B379">
        <v>370</v>
      </c>
      <c r="C379">
        <v>131.66862406286342</v>
      </c>
    </row>
    <row r="380" spans="2:3" x14ac:dyDescent="0.25">
      <c r="B380">
        <v>371</v>
      </c>
      <c r="C380">
        <v>130.42541221326925</v>
      </c>
    </row>
    <row r="381" spans="2:3" x14ac:dyDescent="0.25">
      <c r="B381">
        <v>372</v>
      </c>
      <c r="C381">
        <v>131.66862406286342</v>
      </c>
    </row>
    <row r="382" spans="2:3" x14ac:dyDescent="0.25">
      <c r="B382">
        <v>373</v>
      </c>
      <c r="C382">
        <v>130.42541221326925</v>
      </c>
    </row>
    <row r="383" spans="2:3" x14ac:dyDescent="0.25">
      <c r="B383">
        <v>374</v>
      </c>
      <c r="C383">
        <v>131.66862406286342</v>
      </c>
    </row>
    <row r="384" spans="2:3" x14ac:dyDescent="0.25">
      <c r="B384">
        <v>375</v>
      </c>
      <c r="C384">
        <v>130.42541221326925</v>
      </c>
    </row>
    <row r="385" spans="2:3" x14ac:dyDescent="0.25">
      <c r="B385">
        <v>376</v>
      </c>
      <c r="C385">
        <v>131.66862406286342</v>
      </c>
    </row>
    <row r="386" spans="2:3" x14ac:dyDescent="0.25">
      <c r="B386">
        <v>377</v>
      </c>
      <c r="C386">
        <v>130.42541221326925</v>
      </c>
    </row>
    <row r="387" spans="2:3" x14ac:dyDescent="0.25">
      <c r="B387">
        <v>378</v>
      </c>
      <c r="C387">
        <v>131.66862406286342</v>
      </c>
    </row>
    <row r="388" spans="2:3" x14ac:dyDescent="0.25">
      <c r="B388">
        <v>379</v>
      </c>
      <c r="C388">
        <v>130.42541221326925</v>
      </c>
    </row>
    <row r="389" spans="2:3" x14ac:dyDescent="0.25">
      <c r="B389">
        <v>380</v>
      </c>
      <c r="C389">
        <v>129.19393873881168</v>
      </c>
    </row>
    <row r="390" spans="2:3" x14ac:dyDescent="0.25">
      <c r="B390">
        <v>381</v>
      </c>
      <c r="C390">
        <v>130.42541221326925</v>
      </c>
    </row>
    <row r="391" spans="2:3" x14ac:dyDescent="0.25">
      <c r="B391">
        <v>382</v>
      </c>
      <c r="C391">
        <v>129.19393873881168</v>
      </c>
    </row>
    <row r="392" spans="2:3" x14ac:dyDescent="0.25">
      <c r="B392">
        <v>383</v>
      </c>
      <c r="C392">
        <v>130.42541221326925</v>
      </c>
    </row>
    <row r="393" spans="2:3" x14ac:dyDescent="0.25">
      <c r="B393">
        <v>384</v>
      </c>
      <c r="C393">
        <v>129.19393873881168</v>
      </c>
    </row>
    <row r="394" spans="2:3" x14ac:dyDescent="0.25">
      <c r="B394">
        <v>385</v>
      </c>
      <c r="C394">
        <v>130.42541221326925</v>
      </c>
    </row>
    <row r="395" spans="2:3" x14ac:dyDescent="0.25">
      <c r="B395">
        <v>386</v>
      </c>
      <c r="C395">
        <v>129.19393873881168</v>
      </c>
    </row>
    <row r="396" spans="2:3" x14ac:dyDescent="0.25">
      <c r="B396">
        <v>387</v>
      </c>
      <c r="C396">
        <v>130.42541221326925</v>
      </c>
    </row>
    <row r="397" spans="2:3" x14ac:dyDescent="0.25">
      <c r="B397">
        <v>388</v>
      </c>
      <c r="C397">
        <v>129.19393873881168</v>
      </c>
    </row>
    <row r="398" spans="2:3" x14ac:dyDescent="0.25">
      <c r="B398">
        <v>389</v>
      </c>
      <c r="C398">
        <v>130.42541221326925</v>
      </c>
    </row>
    <row r="399" spans="2:3" x14ac:dyDescent="0.25">
      <c r="B399">
        <v>390</v>
      </c>
      <c r="C399">
        <v>129.19393873881168</v>
      </c>
    </row>
    <row r="400" spans="2:3" x14ac:dyDescent="0.25">
      <c r="B400">
        <v>391</v>
      </c>
      <c r="C400">
        <v>127.9740928060468</v>
      </c>
    </row>
    <row r="401" spans="2:3" x14ac:dyDescent="0.25">
      <c r="B401">
        <v>392</v>
      </c>
      <c r="C401">
        <v>129.19393873881168</v>
      </c>
    </row>
    <row r="402" spans="2:3" x14ac:dyDescent="0.25">
      <c r="B402">
        <v>393</v>
      </c>
      <c r="C402">
        <v>127.9740928060468</v>
      </c>
    </row>
    <row r="403" spans="2:3" x14ac:dyDescent="0.25">
      <c r="B403">
        <v>394</v>
      </c>
      <c r="C403">
        <v>129.19393873881168</v>
      </c>
    </row>
    <row r="404" spans="2:3" x14ac:dyDescent="0.25">
      <c r="B404">
        <v>395</v>
      </c>
      <c r="C404">
        <v>127.9740928060468</v>
      </c>
    </row>
    <row r="405" spans="2:3" x14ac:dyDescent="0.25">
      <c r="B405">
        <v>396</v>
      </c>
      <c r="C405">
        <v>129.19393873881168</v>
      </c>
    </row>
    <row r="406" spans="2:3" x14ac:dyDescent="0.25">
      <c r="B406">
        <v>397</v>
      </c>
      <c r="C406">
        <v>127.9740928060468</v>
      </c>
    </row>
    <row r="407" spans="2:3" x14ac:dyDescent="0.25">
      <c r="B407">
        <v>398</v>
      </c>
      <c r="C407">
        <v>129.19393873881168</v>
      </c>
    </row>
    <row r="408" spans="2:3" x14ac:dyDescent="0.25">
      <c r="B408">
        <v>399</v>
      </c>
      <c r="C408">
        <v>127.9740928060468</v>
      </c>
    </row>
    <row r="409" spans="2:3" x14ac:dyDescent="0.25">
      <c r="B409">
        <v>400</v>
      </c>
      <c r="C409">
        <v>126.76576462801721</v>
      </c>
    </row>
    <row r="410" spans="2:3" x14ac:dyDescent="0.25">
      <c r="B410">
        <v>401</v>
      </c>
      <c r="C410">
        <v>127.9740928060468</v>
      </c>
    </row>
    <row r="411" spans="2:3" x14ac:dyDescent="0.25">
      <c r="B411">
        <v>402</v>
      </c>
      <c r="C411">
        <v>126.76576462801721</v>
      </c>
    </row>
    <row r="412" spans="2:3" x14ac:dyDescent="0.25">
      <c r="B412">
        <v>403</v>
      </c>
      <c r="C412">
        <v>127.9740928060468</v>
      </c>
    </row>
    <row r="413" spans="2:3" x14ac:dyDescent="0.25">
      <c r="B413">
        <v>404</v>
      </c>
      <c r="C413">
        <v>126.76576462801721</v>
      </c>
    </row>
    <row r="414" spans="2:3" x14ac:dyDescent="0.25">
      <c r="B414">
        <v>405</v>
      </c>
      <c r="C414">
        <v>127.9740928060468</v>
      </c>
    </row>
    <row r="415" spans="2:3" x14ac:dyDescent="0.25">
      <c r="B415">
        <v>406</v>
      </c>
      <c r="C415">
        <v>126.76576462801721</v>
      </c>
    </row>
    <row r="416" spans="2:3" x14ac:dyDescent="0.25">
      <c r="B416">
        <v>407</v>
      </c>
      <c r="C416">
        <v>127.9740928060468</v>
      </c>
    </row>
    <row r="417" spans="2:3" x14ac:dyDescent="0.25">
      <c r="B417">
        <v>408</v>
      </c>
      <c r="C417">
        <v>126.76576462801721</v>
      </c>
    </row>
    <row r="418" spans="2:3" x14ac:dyDescent="0.25">
      <c r="B418">
        <v>409</v>
      </c>
      <c r="C418">
        <v>125.5688454543713</v>
      </c>
    </row>
    <row r="419" spans="2:3" x14ac:dyDescent="0.25">
      <c r="B419">
        <v>410</v>
      </c>
      <c r="C419">
        <v>126.76576462801721</v>
      </c>
    </row>
    <row r="420" spans="2:3" x14ac:dyDescent="0.25">
      <c r="B420">
        <v>411</v>
      </c>
      <c r="C420">
        <v>125.5688454543713</v>
      </c>
    </row>
    <row r="421" spans="2:3" x14ac:dyDescent="0.25">
      <c r="B421">
        <v>412</v>
      </c>
      <c r="C421">
        <v>126.76576462801721</v>
      </c>
    </row>
    <row r="422" spans="2:3" x14ac:dyDescent="0.25">
      <c r="B422">
        <v>413</v>
      </c>
      <c r="C422">
        <v>125.5688454543713</v>
      </c>
    </row>
    <row r="423" spans="2:3" x14ac:dyDescent="0.25">
      <c r="B423">
        <v>414</v>
      </c>
      <c r="C423">
        <v>126.76576462801721</v>
      </c>
    </row>
    <row r="424" spans="2:3" x14ac:dyDescent="0.25">
      <c r="B424">
        <v>415</v>
      </c>
      <c r="C424">
        <v>125.5688454543713</v>
      </c>
    </row>
    <row r="425" spans="2:3" x14ac:dyDescent="0.25">
      <c r="B425">
        <v>416</v>
      </c>
      <c r="C425">
        <v>126.76576462801721</v>
      </c>
    </row>
    <row r="426" spans="2:3" x14ac:dyDescent="0.25">
      <c r="B426">
        <v>417</v>
      </c>
      <c r="C426">
        <v>125.5688454543713</v>
      </c>
    </row>
    <row r="427" spans="2:3" x14ac:dyDescent="0.25">
      <c r="B427">
        <v>418</v>
      </c>
      <c r="C427">
        <v>124.38322756157551</v>
      </c>
    </row>
    <row r="428" spans="2:3" x14ac:dyDescent="0.25">
      <c r="B428">
        <v>419</v>
      </c>
      <c r="C428">
        <v>125.5688454543713</v>
      </c>
    </row>
    <row r="429" spans="2:3" x14ac:dyDescent="0.25">
      <c r="B429">
        <v>420</v>
      </c>
      <c r="C429">
        <v>124.38322756157551</v>
      </c>
    </row>
    <row r="430" spans="2:3" x14ac:dyDescent="0.25">
      <c r="B430">
        <v>421</v>
      </c>
      <c r="C430">
        <v>125.5688454543713</v>
      </c>
    </row>
    <row r="431" spans="2:3" x14ac:dyDescent="0.25">
      <c r="B431">
        <v>422</v>
      </c>
      <c r="C431">
        <v>124.38322756157551</v>
      </c>
    </row>
    <row r="432" spans="2:3" x14ac:dyDescent="0.25">
      <c r="B432">
        <v>423</v>
      </c>
      <c r="C432">
        <v>125.5688454543713</v>
      </c>
    </row>
    <row r="433" spans="2:3" x14ac:dyDescent="0.25">
      <c r="B433">
        <v>424</v>
      </c>
      <c r="C433">
        <v>124.38322756157551</v>
      </c>
    </row>
    <row r="434" spans="2:3" x14ac:dyDescent="0.25">
      <c r="B434">
        <v>425</v>
      </c>
      <c r="C434">
        <v>123.20880424321921</v>
      </c>
    </row>
    <row r="435" spans="2:3" x14ac:dyDescent="0.25">
      <c r="B435">
        <v>426</v>
      </c>
      <c r="C435">
        <v>124.38322756157551</v>
      </c>
    </row>
    <row r="436" spans="2:3" x14ac:dyDescent="0.25">
      <c r="B436">
        <v>427</v>
      </c>
      <c r="C436">
        <v>123.20880424321921</v>
      </c>
    </row>
    <row r="437" spans="2:3" x14ac:dyDescent="0.25">
      <c r="B437">
        <v>428</v>
      </c>
      <c r="C437">
        <v>124.38322756157551</v>
      </c>
    </row>
    <row r="438" spans="2:3" x14ac:dyDescent="0.25">
      <c r="B438">
        <v>429</v>
      </c>
      <c r="C438">
        <v>123.20880424321921</v>
      </c>
    </row>
    <row r="439" spans="2:3" x14ac:dyDescent="0.25">
      <c r="B439">
        <v>430</v>
      </c>
      <c r="C439">
        <v>124.38322756157551</v>
      </c>
    </row>
    <row r="440" spans="2:3" x14ac:dyDescent="0.25">
      <c r="B440">
        <v>431</v>
      </c>
      <c r="C440">
        <v>123.20880424321921</v>
      </c>
    </row>
    <row r="441" spans="2:3" x14ac:dyDescent="0.25">
      <c r="B441">
        <v>432</v>
      </c>
      <c r="C441">
        <v>122.04546980041098</v>
      </c>
    </row>
    <row r="442" spans="2:3" x14ac:dyDescent="0.25">
      <c r="B442">
        <v>433</v>
      </c>
      <c r="C442">
        <v>123.20880424321921</v>
      </c>
    </row>
    <row r="443" spans="2:3" x14ac:dyDescent="0.25">
      <c r="B443">
        <v>434</v>
      </c>
      <c r="C443">
        <v>122.04546980041098</v>
      </c>
    </row>
    <row r="444" spans="2:3" x14ac:dyDescent="0.25">
      <c r="B444">
        <v>435</v>
      </c>
      <c r="C444">
        <v>123.20880424321921</v>
      </c>
    </row>
    <row r="445" spans="2:3" x14ac:dyDescent="0.25">
      <c r="B445">
        <v>436</v>
      </c>
      <c r="C445">
        <v>122.04546980041098</v>
      </c>
    </row>
    <row r="446" spans="2:3" x14ac:dyDescent="0.25">
      <c r="B446">
        <v>437</v>
      </c>
      <c r="C446">
        <v>123.20880424321921</v>
      </c>
    </row>
    <row r="447" spans="2:3" x14ac:dyDescent="0.25">
      <c r="B447">
        <v>438</v>
      </c>
      <c r="C447">
        <v>122.04546980041098</v>
      </c>
    </row>
    <row r="448" spans="2:3" x14ac:dyDescent="0.25">
      <c r="B448">
        <v>439</v>
      </c>
      <c r="C448">
        <v>120.89311953226571</v>
      </c>
    </row>
    <row r="449" spans="2:3" x14ac:dyDescent="0.25">
      <c r="B449">
        <v>440</v>
      </c>
      <c r="C449">
        <v>122.04546980041098</v>
      </c>
    </row>
    <row r="450" spans="2:3" x14ac:dyDescent="0.25">
      <c r="B450">
        <v>441</v>
      </c>
      <c r="C450">
        <v>120.89311953226571</v>
      </c>
    </row>
    <row r="451" spans="2:3" x14ac:dyDescent="0.25">
      <c r="B451">
        <v>442</v>
      </c>
      <c r="C451">
        <v>122.04546980041098</v>
      </c>
    </row>
    <row r="452" spans="2:3" x14ac:dyDescent="0.25">
      <c r="B452">
        <v>443</v>
      </c>
      <c r="C452">
        <v>120.89311953226571</v>
      </c>
    </row>
    <row r="453" spans="2:3" x14ac:dyDescent="0.25">
      <c r="B453">
        <v>444</v>
      </c>
      <c r="C453">
        <v>122.04546980041098</v>
      </c>
    </row>
    <row r="454" spans="2:3" x14ac:dyDescent="0.25">
      <c r="B454">
        <v>445</v>
      </c>
      <c r="C454">
        <v>120.89311953226571</v>
      </c>
    </row>
    <row r="455" spans="2:3" x14ac:dyDescent="0.25">
      <c r="B455">
        <v>446</v>
      </c>
      <c r="C455">
        <v>119.75164972648145</v>
      </c>
    </row>
    <row r="456" spans="2:3" x14ac:dyDescent="0.25">
      <c r="B456">
        <v>447</v>
      </c>
      <c r="C456">
        <v>120.89311953226571</v>
      </c>
    </row>
    <row r="457" spans="2:3" x14ac:dyDescent="0.25">
      <c r="B457">
        <v>448</v>
      </c>
      <c r="C457">
        <v>119.75164972648145</v>
      </c>
    </row>
    <row r="458" spans="2:3" x14ac:dyDescent="0.25">
      <c r="B458">
        <v>449</v>
      </c>
      <c r="C458">
        <v>120.89311953226571</v>
      </c>
    </row>
    <row r="459" spans="2:3" x14ac:dyDescent="0.25">
      <c r="B459">
        <v>450</v>
      </c>
      <c r="C459">
        <v>119.75164972648145</v>
      </c>
    </row>
    <row r="460" spans="2:3" x14ac:dyDescent="0.25">
      <c r="B460">
        <v>451</v>
      </c>
      <c r="C460">
        <v>120.89311953226571</v>
      </c>
    </row>
    <row r="461" spans="2:3" x14ac:dyDescent="0.25">
      <c r="B461">
        <v>452</v>
      </c>
      <c r="C461">
        <v>119.75164972648145</v>
      </c>
    </row>
    <row r="462" spans="2:3" x14ac:dyDescent="0.25">
      <c r="B462">
        <v>453</v>
      </c>
      <c r="C462">
        <v>118.62095765000518</v>
      </c>
    </row>
    <row r="463" spans="2:3" x14ac:dyDescent="0.25">
      <c r="B463">
        <v>454</v>
      </c>
      <c r="C463">
        <v>119.75164972648145</v>
      </c>
    </row>
    <row r="464" spans="2:3" x14ac:dyDescent="0.25">
      <c r="B464">
        <v>455</v>
      </c>
      <c r="C464">
        <v>118.62095765000518</v>
      </c>
    </row>
    <row r="465" spans="2:3" x14ac:dyDescent="0.25">
      <c r="B465">
        <v>456</v>
      </c>
      <c r="C465">
        <v>119.75164972648145</v>
      </c>
    </row>
    <row r="466" spans="2:3" x14ac:dyDescent="0.25">
      <c r="B466">
        <v>457</v>
      </c>
      <c r="C466">
        <v>118.62095765000518</v>
      </c>
    </row>
    <row r="467" spans="2:3" x14ac:dyDescent="0.25">
      <c r="B467">
        <v>458</v>
      </c>
      <c r="C467">
        <v>117.50094153978678</v>
      </c>
    </row>
    <row r="468" spans="2:3" x14ac:dyDescent="0.25">
      <c r="B468">
        <v>459</v>
      </c>
      <c r="C468">
        <v>118.62095765000518</v>
      </c>
    </row>
    <row r="469" spans="2:3" x14ac:dyDescent="0.25">
      <c r="B469">
        <v>460</v>
      </c>
      <c r="C469">
        <v>117.50094153978678</v>
      </c>
    </row>
    <row r="470" spans="2:3" x14ac:dyDescent="0.25">
      <c r="B470">
        <v>461</v>
      </c>
      <c r="C470">
        <v>118.62095765000518</v>
      </c>
    </row>
    <row r="471" spans="2:3" x14ac:dyDescent="0.25">
      <c r="B471">
        <v>462</v>
      </c>
      <c r="C471">
        <v>117.50094153978678</v>
      </c>
    </row>
    <row r="472" spans="2:3" x14ac:dyDescent="0.25">
      <c r="B472">
        <v>463</v>
      </c>
      <c r="C472">
        <v>116.39150059362035</v>
      </c>
    </row>
    <row r="473" spans="2:3" x14ac:dyDescent="0.25">
      <c r="B473">
        <v>464</v>
      </c>
      <c r="C473">
        <v>117.50094153978678</v>
      </c>
    </row>
    <row r="474" spans="2:3" x14ac:dyDescent="0.25">
      <c r="B474">
        <v>465</v>
      </c>
      <c r="C474">
        <v>116.39150059362035</v>
      </c>
    </row>
    <row r="475" spans="2:3" x14ac:dyDescent="0.25">
      <c r="B475">
        <v>466</v>
      </c>
      <c r="C475">
        <v>117.50094153978678</v>
      </c>
    </row>
    <row r="476" spans="2:3" x14ac:dyDescent="0.25">
      <c r="B476">
        <v>467</v>
      </c>
      <c r="C476">
        <v>116.39150059362035</v>
      </c>
    </row>
    <row r="477" spans="2:3" x14ac:dyDescent="0.25">
      <c r="B477">
        <v>468</v>
      </c>
      <c r="C477">
        <v>115.29253496107185</v>
      </c>
    </row>
    <row r="478" spans="2:3" x14ac:dyDescent="0.25">
      <c r="B478">
        <v>469</v>
      </c>
      <c r="C478">
        <v>116.39150059362035</v>
      </c>
    </row>
    <row r="479" spans="2:3" x14ac:dyDescent="0.25">
      <c r="B479">
        <v>470</v>
      </c>
      <c r="C479">
        <v>115.29253496107185</v>
      </c>
    </row>
    <row r="480" spans="2:3" x14ac:dyDescent="0.25">
      <c r="B480">
        <v>471</v>
      </c>
      <c r="C480">
        <v>116.39150059362035</v>
      </c>
    </row>
    <row r="481" spans="2:3" x14ac:dyDescent="0.25">
      <c r="B481">
        <v>472</v>
      </c>
      <c r="C481">
        <v>115.29253496107185</v>
      </c>
    </row>
    <row r="482" spans="2:3" x14ac:dyDescent="0.25">
      <c r="B482">
        <v>473</v>
      </c>
      <c r="C482">
        <v>114.20394573449255</v>
      </c>
    </row>
    <row r="483" spans="2:3" x14ac:dyDescent="0.25">
      <c r="B483">
        <v>474</v>
      </c>
      <c r="C483">
        <v>115.29253496107185</v>
      </c>
    </row>
    <row r="484" spans="2:3" x14ac:dyDescent="0.25">
      <c r="B484">
        <v>475</v>
      </c>
      <c r="C484">
        <v>114.20394573449255</v>
      </c>
    </row>
    <row r="485" spans="2:3" x14ac:dyDescent="0.25">
      <c r="B485">
        <v>476</v>
      </c>
      <c r="C485">
        <v>113.12563494011725</v>
      </c>
    </row>
    <row r="486" spans="2:3" x14ac:dyDescent="0.25">
      <c r="B486">
        <v>477</v>
      </c>
      <c r="C486">
        <v>114.20394573449255</v>
      </c>
    </row>
    <row r="487" spans="2:3" x14ac:dyDescent="0.25">
      <c r="B487">
        <v>478</v>
      </c>
      <c r="C487">
        <v>113.12563494011725</v>
      </c>
    </row>
    <row r="488" spans="2:3" x14ac:dyDescent="0.25">
      <c r="B488">
        <v>479</v>
      </c>
      <c r="C488">
        <v>114.20394573449255</v>
      </c>
    </row>
    <row r="489" spans="2:3" x14ac:dyDescent="0.25">
      <c r="B489">
        <v>480</v>
      </c>
      <c r="C489">
        <v>113.12563494011725</v>
      </c>
    </row>
    <row r="490" spans="2:3" x14ac:dyDescent="0.25">
      <c r="B490">
        <v>481</v>
      </c>
      <c r="C490">
        <v>112.05750552924658</v>
      </c>
    </row>
    <row r="491" spans="2:3" x14ac:dyDescent="0.25">
      <c r="B491">
        <v>482</v>
      </c>
      <c r="C491">
        <v>113.12563494011725</v>
      </c>
    </row>
    <row r="492" spans="2:3" x14ac:dyDescent="0.25">
      <c r="B492">
        <v>483</v>
      </c>
      <c r="C492">
        <v>112.05750552924658</v>
      </c>
    </row>
    <row r="493" spans="2:3" x14ac:dyDescent="0.25">
      <c r="B493">
        <v>484</v>
      </c>
      <c r="C493">
        <v>110.9994613695126</v>
      </c>
    </row>
    <row r="494" spans="2:3" x14ac:dyDescent="0.25">
      <c r="B494">
        <v>485</v>
      </c>
      <c r="C494">
        <v>112.05750552924658</v>
      </c>
    </row>
    <row r="495" spans="2:3" x14ac:dyDescent="0.25">
      <c r="B495">
        <v>486</v>
      </c>
      <c r="C495">
        <v>110.9994613695126</v>
      </c>
    </row>
    <row r="496" spans="2:3" x14ac:dyDescent="0.25">
      <c r="B496">
        <v>487</v>
      </c>
      <c r="C496">
        <v>109.95140723622671</v>
      </c>
    </row>
    <row r="497" spans="2:3" x14ac:dyDescent="0.25">
      <c r="B497">
        <v>488</v>
      </c>
      <c r="C497">
        <v>110.9994613695126</v>
      </c>
    </row>
    <row r="498" spans="2:3" x14ac:dyDescent="0.25">
      <c r="B498">
        <v>489</v>
      </c>
      <c r="C498">
        <v>109.95140723622671</v>
      </c>
    </row>
    <row r="499" spans="2:3" x14ac:dyDescent="0.25">
      <c r="B499">
        <v>490</v>
      </c>
      <c r="C499">
        <v>108.91324880380952</v>
      </c>
    </row>
    <row r="500" spans="2:3" x14ac:dyDescent="0.25">
      <c r="B500">
        <v>491</v>
      </c>
      <c r="C500">
        <v>107.88489263730135</v>
      </c>
    </row>
    <row r="501" spans="2:3" x14ac:dyDescent="0.25">
      <c r="B501">
        <v>492</v>
      </c>
      <c r="C501">
        <v>108.91324880380952</v>
      </c>
    </row>
    <row r="502" spans="2:3" x14ac:dyDescent="0.25">
      <c r="B502">
        <v>493</v>
      </c>
      <c r="C502">
        <v>107.88489263730135</v>
      </c>
    </row>
    <row r="503" spans="2:3" x14ac:dyDescent="0.25">
      <c r="B503">
        <v>494</v>
      </c>
      <c r="C503">
        <v>106.86624618395304</v>
      </c>
    </row>
    <row r="504" spans="2:3" x14ac:dyDescent="0.25">
      <c r="B504">
        <v>495</v>
      </c>
      <c r="C504">
        <v>105.85721776489623</v>
      </c>
    </row>
    <row r="505" spans="2:3" x14ac:dyDescent="0.25">
      <c r="B505">
        <v>496</v>
      </c>
      <c r="C505">
        <v>104.85771656689209</v>
      </c>
    </row>
    <row r="506" spans="2:3" x14ac:dyDescent="0.25">
      <c r="B506">
        <v>497</v>
      </c>
      <c r="C506">
        <v>103.86765263415813</v>
      </c>
    </row>
    <row r="507" spans="2:3" x14ac:dyDescent="0.25">
      <c r="B507">
        <v>498</v>
      </c>
      <c r="C507">
        <v>102.88693686027213</v>
      </c>
    </row>
    <row r="508" spans="2:3" x14ac:dyDescent="0.25">
      <c r="B508">
        <v>499</v>
      </c>
      <c r="C508">
        <v>101.91548098015244</v>
      </c>
    </row>
    <row r="509" spans="2:3" x14ac:dyDescent="0.25">
      <c r="B509">
        <v>500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21"/>
  <sheetViews>
    <sheetView tabSelected="1" workbookViewId="0">
      <selection activeCell="B24" sqref="B24:B25"/>
    </sheetView>
  </sheetViews>
  <sheetFormatPr defaultRowHeight="15" x14ac:dyDescent="0.25"/>
  <sheetData>
    <row r="2" spans="2:3" x14ac:dyDescent="0.25">
      <c r="B2" t="s">
        <v>35</v>
      </c>
      <c r="C2" t="s">
        <v>39</v>
      </c>
    </row>
    <row r="3" spans="2:3" x14ac:dyDescent="0.25">
      <c r="B3" t="s">
        <v>38</v>
      </c>
    </row>
    <row r="9" spans="2:3" x14ac:dyDescent="0.25">
      <c r="B9" t="s">
        <v>41</v>
      </c>
    </row>
    <row r="13" spans="2:3" x14ac:dyDescent="0.25">
      <c r="B13" t="s">
        <v>40</v>
      </c>
    </row>
    <row r="19" spans="2:4" x14ac:dyDescent="0.25">
      <c r="B19" t="s">
        <v>42</v>
      </c>
    </row>
    <row r="21" spans="2:4" x14ac:dyDescent="0.25">
      <c r="B21" t="s">
        <v>36</v>
      </c>
      <c r="D21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(a)(b)</vt:lpstr>
      <vt:lpstr>(c)</vt:lpstr>
      <vt:lpstr>(d)</vt:lpstr>
      <vt:lpstr>(e)</vt:lpstr>
      <vt:lpstr>(f)</vt:lpstr>
      <vt:lpstr>_q</vt:lpstr>
      <vt:lpstr>_r</vt:lpstr>
      <vt:lpstr>_S0</vt:lpstr>
      <vt:lpstr>_sigma</vt:lpstr>
      <vt:lpstr>_T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Zengye Wang</dc:creator>
  <cp:lastModifiedBy>Zengye Wang</cp:lastModifiedBy>
  <dcterms:created xsi:type="dcterms:W3CDTF">2015-11-01T00:36:21Z</dcterms:created>
  <dcterms:modified xsi:type="dcterms:W3CDTF">2015-11-02T00:43:37Z</dcterms:modified>
</cp:coreProperties>
</file>