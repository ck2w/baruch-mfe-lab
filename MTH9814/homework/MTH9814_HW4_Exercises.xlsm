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/>
  <bookViews>
    <workbookView xWindow="0" yWindow="0" windowWidth="20730" windowHeight="8805"/>
  </bookViews>
  <sheets>
    <sheet name="Exercise1" sheetId="1" r:id="rId1"/>
    <sheet name="Exercise2" sheetId="2" r:id="rId2"/>
    <sheet name="Exercise3" sheetId="3" r:id="rId3"/>
    <sheet name="Exercise4" sheetId="4" r:id="rId4"/>
    <sheet name="Exercise5" sheetId="5" r:id="rId5"/>
  </sheets>
  <definedNames>
    <definedName name="solver_adj" localSheetId="0" hidden="1">Exercise1!$B$21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Exercise1!$E$27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102</definedName>
    <definedName name="solver_ver" localSheetId="0" hidden="1">3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61" i="4" l="1"/>
  <c r="B144" i="4"/>
  <c r="E70" i="5" l="1"/>
  <c r="E69" i="5"/>
  <c r="D6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49" i="5"/>
  <c r="D62" i="5"/>
  <c r="D50" i="5"/>
  <c r="D51" i="5"/>
  <c r="D52" i="5"/>
  <c r="D53" i="5"/>
  <c r="D54" i="5"/>
  <c r="D55" i="5"/>
  <c r="D56" i="5"/>
  <c r="D57" i="5"/>
  <c r="D58" i="5"/>
  <c r="D59" i="5"/>
  <c r="D60" i="5"/>
  <c r="D61" i="5"/>
  <c r="D63" i="5"/>
  <c r="D64" i="5"/>
  <c r="D65" i="5"/>
  <c r="D66" i="5"/>
  <c r="D67" i="5"/>
  <c r="D68" i="5"/>
  <c r="D49" i="5"/>
  <c r="C49" i="5"/>
  <c r="C50" i="5"/>
  <c r="C51" i="5"/>
  <c r="C52" i="5"/>
  <c r="C53" i="5"/>
  <c r="C54" i="5"/>
  <c r="C55" i="5"/>
  <c r="C56" i="5"/>
  <c r="C57" i="5"/>
  <c r="C58" i="5"/>
  <c r="C59" i="5"/>
  <c r="C60" i="5"/>
  <c r="C48" i="5"/>
  <c r="B49" i="5"/>
  <c r="B50" i="5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48" i="5"/>
  <c r="B41" i="5"/>
  <c r="B28" i="5"/>
  <c r="B29" i="5"/>
  <c r="B30" i="5"/>
  <c r="B31" i="5"/>
  <c r="B32" i="5"/>
  <c r="B33" i="5"/>
  <c r="B34" i="5"/>
  <c r="B35" i="5"/>
  <c r="B36" i="5"/>
  <c r="B37" i="5"/>
  <c r="B38" i="5"/>
  <c r="B27" i="5"/>
  <c r="B39" i="5" s="1"/>
  <c r="B22" i="5"/>
  <c r="B11" i="5"/>
  <c r="B12" i="5"/>
  <c r="B13" i="5"/>
  <c r="B14" i="5"/>
  <c r="B15" i="5"/>
  <c r="B16" i="5"/>
  <c r="B17" i="5"/>
  <c r="B18" i="5"/>
  <c r="B19" i="5"/>
  <c r="B20" i="5"/>
  <c r="B21" i="5"/>
  <c r="B10" i="5"/>
  <c r="M60" i="4" l="1"/>
  <c r="K61" i="4"/>
  <c r="K60" i="4"/>
  <c r="B142" i="4"/>
  <c r="B141" i="4"/>
  <c r="B134" i="4"/>
  <c r="B127" i="4"/>
  <c r="B129" i="4"/>
  <c r="B131" i="4"/>
  <c r="B133" i="4"/>
  <c r="A126" i="4"/>
  <c r="H126" i="4" s="1"/>
  <c r="H125" i="4"/>
  <c r="F125" i="4"/>
  <c r="C125" i="4"/>
  <c r="B111" i="4"/>
  <c r="B104" i="4"/>
  <c r="B106" i="4"/>
  <c r="B108" i="4"/>
  <c r="B110" i="4"/>
  <c r="B102" i="4"/>
  <c r="A103" i="4"/>
  <c r="H102" i="4"/>
  <c r="F102" i="4"/>
  <c r="C102" i="4"/>
  <c r="B97" i="4"/>
  <c r="B126" i="4" s="1"/>
  <c r="H77" i="4"/>
  <c r="A77" i="4"/>
  <c r="C77" i="4" s="1"/>
  <c r="H76" i="4"/>
  <c r="F76" i="4"/>
  <c r="C76" i="4"/>
  <c r="H103" i="4" l="1"/>
  <c r="F77" i="4"/>
  <c r="F103" i="4"/>
  <c r="A104" i="4"/>
  <c r="B109" i="4"/>
  <c r="B105" i="4"/>
  <c r="B132" i="4"/>
  <c r="B128" i="4"/>
  <c r="I126" i="4"/>
  <c r="C103" i="4"/>
  <c r="B107" i="4"/>
  <c r="B103" i="4"/>
  <c r="B125" i="4"/>
  <c r="G125" i="4" s="1"/>
  <c r="B130" i="4"/>
  <c r="E125" i="4"/>
  <c r="F126" i="4"/>
  <c r="G126" i="4" s="1"/>
  <c r="A127" i="4"/>
  <c r="C126" i="4"/>
  <c r="E126" i="4" s="1"/>
  <c r="H104" i="4"/>
  <c r="C104" i="4"/>
  <c r="A105" i="4"/>
  <c r="F104" i="4"/>
  <c r="A78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I45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F45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26" i="4"/>
  <c r="B45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26" i="4"/>
  <c r="I125" i="4" l="1"/>
  <c r="H127" i="4"/>
  <c r="I127" i="4" s="1"/>
  <c r="C127" i="4"/>
  <c r="E127" i="4" s="1"/>
  <c r="A128" i="4"/>
  <c r="F127" i="4"/>
  <c r="G127" i="4" s="1"/>
  <c r="C105" i="4"/>
  <c r="A106" i="4"/>
  <c r="F105" i="4"/>
  <c r="H105" i="4"/>
  <c r="A79" i="4"/>
  <c r="F78" i="4"/>
  <c r="C78" i="4"/>
  <c r="H78" i="4"/>
  <c r="J26" i="4"/>
  <c r="G26" i="4"/>
  <c r="C26" i="4"/>
  <c r="B12" i="2"/>
  <c r="H128" i="4" l="1"/>
  <c r="I128" i="4" s="1"/>
  <c r="C128" i="4"/>
  <c r="E128" i="4" s="1"/>
  <c r="A129" i="4"/>
  <c r="F128" i="4"/>
  <c r="G128" i="4" s="1"/>
  <c r="A107" i="4"/>
  <c r="F106" i="4"/>
  <c r="L106" i="4"/>
  <c r="H106" i="4"/>
  <c r="C106" i="4"/>
  <c r="A80" i="4"/>
  <c r="H79" i="4"/>
  <c r="C79" i="4"/>
  <c r="F79" i="4"/>
  <c r="J10" i="4"/>
  <c r="L10" i="4"/>
  <c r="H10" i="4"/>
  <c r="F10" i="4"/>
  <c r="D10" i="4"/>
  <c r="C10" i="4"/>
  <c r="B15" i="4"/>
  <c r="B10" i="4"/>
  <c r="A11" i="4"/>
  <c r="J11" i="4" s="1"/>
  <c r="B7" i="4"/>
  <c r="B13" i="4" s="1"/>
  <c r="B3" i="4"/>
  <c r="M106" i="4" l="1"/>
  <c r="E10" i="4"/>
  <c r="L102" i="4"/>
  <c r="M102" i="4" s="1"/>
  <c r="D102" i="4"/>
  <c r="D103" i="4"/>
  <c r="J102" i="4"/>
  <c r="K102" i="4" s="1"/>
  <c r="L104" i="4"/>
  <c r="M104" i="4" s="1"/>
  <c r="L103" i="4"/>
  <c r="M103" i="4" s="1"/>
  <c r="J104" i="4"/>
  <c r="K104" i="4" s="1"/>
  <c r="D104" i="4"/>
  <c r="J103" i="4"/>
  <c r="K103" i="4" s="1"/>
  <c r="L105" i="4"/>
  <c r="M105" i="4" s="1"/>
  <c r="J105" i="4"/>
  <c r="K105" i="4" s="1"/>
  <c r="D105" i="4"/>
  <c r="G10" i="4"/>
  <c r="B11" i="4"/>
  <c r="I10" i="4"/>
  <c r="D106" i="4"/>
  <c r="G106" i="4" s="1"/>
  <c r="J106" i="4"/>
  <c r="K106" i="4" s="1"/>
  <c r="H129" i="4"/>
  <c r="I129" i="4" s="1"/>
  <c r="C129" i="4"/>
  <c r="E129" i="4" s="1"/>
  <c r="A130" i="4"/>
  <c r="F129" i="4"/>
  <c r="G129" i="4" s="1"/>
  <c r="E106" i="4"/>
  <c r="I106" i="4"/>
  <c r="L107" i="4"/>
  <c r="H107" i="4"/>
  <c r="D107" i="4"/>
  <c r="C107" i="4"/>
  <c r="A108" i="4"/>
  <c r="F107" i="4"/>
  <c r="J107" i="4"/>
  <c r="L11" i="4"/>
  <c r="B18" i="4"/>
  <c r="B14" i="4"/>
  <c r="B19" i="4"/>
  <c r="D11" i="4"/>
  <c r="M10" i="4"/>
  <c r="K10" i="4"/>
  <c r="N29" i="4"/>
  <c r="O29" i="4" s="1"/>
  <c r="N33" i="4"/>
  <c r="O33" i="4" s="1"/>
  <c r="N37" i="4"/>
  <c r="O37" i="4" s="1"/>
  <c r="N41" i="4"/>
  <c r="O41" i="4" s="1"/>
  <c r="N45" i="4"/>
  <c r="O45" i="4" s="1"/>
  <c r="L27" i="4"/>
  <c r="M27" i="4" s="1"/>
  <c r="L31" i="4"/>
  <c r="M31" i="4" s="1"/>
  <c r="L35" i="4"/>
  <c r="M35" i="4" s="1"/>
  <c r="L39" i="4"/>
  <c r="M39" i="4" s="1"/>
  <c r="L43" i="4"/>
  <c r="M43" i="4" s="1"/>
  <c r="D28" i="4"/>
  <c r="D32" i="4"/>
  <c r="D36" i="4"/>
  <c r="D40" i="4"/>
  <c r="D44" i="4"/>
  <c r="D42" i="4"/>
  <c r="N28" i="4"/>
  <c r="O28" i="4" s="1"/>
  <c r="N36" i="4"/>
  <c r="O36" i="4" s="1"/>
  <c r="N44" i="4"/>
  <c r="O44" i="4" s="1"/>
  <c r="L30" i="4"/>
  <c r="M30" i="4" s="1"/>
  <c r="L38" i="4"/>
  <c r="M38" i="4" s="1"/>
  <c r="N30" i="4"/>
  <c r="O30" i="4" s="1"/>
  <c r="N34" i="4"/>
  <c r="O34" i="4" s="1"/>
  <c r="N38" i="4"/>
  <c r="O38" i="4" s="1"/>
  <c r="N42" i="4"/>
  <c r="O42" i="4" s="1"/>
  <c r="L28" i="4"/>
  <c r="M28" i="4" s="1"/>
  <c r="L32" i="4"/>
  <c r="M32" i="4" s="1"/>
  <c r="L36" i="4"/>
  <c r="M36" i="4" s="1"/>
  <c r="L40" i="4"/>
  <c r="M40" i="4" s="1"/>
  <c r="L44" i="4"/>
  <c r="M44" i="4" s="1"/>
  <c r="D29" i="4"/>
  <c r="D33" i="4"/>
  <c r="D37" i="4"/>
  <c r="D41" i="4"/>
  <c r="D45" i="4"/>
  <c r="N27" i="4"/>
  <c r="O27" i="4" s="1"/>
  <c r="N31" i="4"/>
  <c r="O31" i="4" s="1"/>
  <c r="N35" i="4"/>
  <c r="O35" i="4" s="1"/>
  <c r="N39" i="4"/>
  <c r="O39" i="4" s="1"/>
  <c r="N43" i="4"/>
  <c r="O43" i="4" s="1"/>
  <c r="L29" i="4"/>
  <c r="M29" i="4" s="1"/>
  <c r="L33" i="4"/>
  <c r="M33" i="4" s="1"/>
  <c r="L37" i="4"/>
  <c r="M37" i="4" s="1"/>
  <c r="L41" i="4"/>
  <c r="M41" i="4" s="1"/>
  <c r="L45" i="4"/>
  <c r="M45" i="4" s="1"/>
  <c r="D30" i="4"/>
  <c r="D34" i="4"/>
  <c r="D38" i="4"/>
  <c r="N32" i="4"/>
  <c r="O32" i="4" s="1"/>
  <c r="N40" i="4"/>
  <c r="O40" i="4" s="1"/>
  <c r="L34" i="4"/>
  <c r="M34" i="4" s="1"/>
  <c r="L42" i="4"/>
  <c r="M42" i="4" s="1"/>
  <c r="D31" i="4"/>
  <c r="D35" i="4"/>
  <c r="D39" i="4"/>
  <c r="D27" i="4"/>
  <c r="D43" i="4"/>
  <c r="L26" i="4"/>
  <c r="M26" i="4" s="1"/>
  <c r="N26" i="4"/>
  <c r="O26" i="4" s="1"/>
  <c r="D26" i="4"/>
  <c r="A12" i="4"/>
  <c r="B17" i="4"/>
  <c r="H11" i="4"/>
  <c r="F11" i="4"/>
  <c r="B84" i="4"/>
  <c r="B80" i="4"/>
  <c r="B83" i="4"/>
  <c r="B79" i="4"/>
  <c r="I79" i="4" s="1"/>
  <c r="B77" i="4"/>
  <c r="B82" i="4"/>
  <c r="B78" i="4"/>
  <c r="B85" i="4"/>
  <c r="B81" i="4"/>
  <c r="B76" i="4"/>
  <c r="B16" i="4"/>
  <c r="B12" i="4"/>
  <c r="C11" i="4"/>
  <c r="H80" i="4"/>
  <c r="C80" i="4"/>
  <c r="A81" i="4"/>
  <c r="F80" i="4"/>
  <c r="B91" i="3"/>
  <c r="D58" i="3"/>
  <c r="C59" i="3"/>
  <c r="D59" i="3" s="1"/>
  <c r="C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58" i="3"/>
  <c r="A60" i="3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C77" i="3" s="1"/>
  <c r="A59" i="3"/>
  <c r="E8" i="3"/>
  <c r="D9" i="3"/>
  <c r="D11" i="3"/>
  <c r="D12" i="3"/>
  <c r="D15" i="3"/>
  <c r="D16" i="3"/>
  <c r="D19" i="3"/>
  <c r="D20" i="3"/>
  <c r="D23" i="3"/>
  <c r="D24" i="3"/>
  <c r="D27" i="3"/>
  <c r="D8" i="3"/>
  <c r="C9" i="3"/>
  <c r="E9" i="3" s="1"/>
  <c r="C11" i="3"/>
  <c r="E11" i="3" s="1"/>
  <c r="C12" i="3"/>
  <c r="E12" i="3" s="1"/>
  <c r="C15" i="3"/>
  <c r="E15" i="3" s="1"/>
  <c r="C16" i="3"/>
  <c r="E16" i="3" s="1"/>
  <c r="C19" i="3"/>
  <c r="E19" i="3" s="1"/>
  <c r="C20" i="3"/>
  <c r="E20" i="3" s="1"/>
  <c r="C23" i="3"/>
  <c r="E23" i="3" s="1"/>
  <c r="C24" i="3"/>
  <c r="E24" i="3" s="1"/>
  <c r="C27" i="3"/>
  <c r="E27" i="3" s="1"/>
  <c r="C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8" i="3"/>
  <c r="A10" i="3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9" i="3"/>
  <c r="B5" i="3"/>
  <c r="D16" i="2"/>
  <c r="B23" i="2" s="1"/>
  <c r="B34" i="1"/>
  <c r="D38" i="1" s="1"/>
  <c r="E38" i="1" s="1"/>
  <c r="E39" i="1" s="1"/>
  <c r="B42" i="1" s="1"/>
  <c r="B47" i="1" s="1"/>
  <c r="D26" i="1"/>
  <c r="E26" i="1" s="1"/>
  <c r="D25" i="1"/>
  <c r="E25" i="1" s="1"/>
  <c r="B16" i="1"/>
  <c r="M107" i="4" l="1"/>
  <c r="K107" i="4"/>
  <c r="I103" i="4"/>
  <c r="G103" i="4"/>
  <c r="E103" i="4"/>
  <c r="E102" i="4"/>
  <c r="G102" i="4"/>
  <c r="I102" i="4"/>
  <c r="E79" i="4"/>
  <c r="G79" i="4"/>
  <c r="E105" i="4"/>
  <c r="G105" i="4"/>
  <c r="I105" i="4"/>
  <c r="E104" i="4"/>
  <c r="G104" i="4"/>
  <c r="I104" i="4"/>
  <c r="H130" i="4"/>
  <c r="I130" i="4" s="1"/>
  <c r="C130" i="4"/>
  <c r="E130" i="4" s="1"/>
  <c r="A131" i="4"/>
  <c r="F130" i="4"/>
  <c r="G130" i="4" s="1"/>
  <c r="L108" i="4"/>
  <c r="H108" i="4"/>
  <c r="D108" i="4"/>
  <c r="C108" i="4"/>
  <c r="A109" i="4"/>
  <c r="J108" i="4"/>
  <c r="F108" i="4"/>
  <c r="G108" i="4" s="1"/>
  <c r="E107" i="4"/>
  <c r="G107" i="4"/>
  <c r="I107" i="4"/>
  <c r="M11" i="4"/>
  <c r="G76" i="4"/>
  <c r="I76" i="4"/>
  <c r="E76" i="4"/>
  <c r="H26" i="4"/>
  <c r="K26" i="4"/>
  <c r="E26" i="4"/>
  <c r="E27" i="4"/>
  <c r="K27" i="4"/>
  <c r="H27" i="4"/>
  <c r="E38" i="4"/>
  <c r="H38" i="4"/>
  <c r="K38" i="4"/>
  <c r="H33" i="4"/>
  <c r="K33" i="4"/>
  <c r="E33" i="4"/>
  <c r="E42" i="4"/>
  <c r="H42" i="4"/>
  <c r="K42" i="4"/>
  <c r="K32" i="4"/>
  <c r="H32" i="4"/>
  <c r="E32" i="4"/>
  <c r="I80" i="4"/>
  <c r="E11" i="4"/>
  <c r="I77" i="4"/>
  <c r="G77" i="4"/>
  <c r="E77" i="4"/>
  <c r="O46" i="4"/>
  <c r="E39" i="4"/>
  <c r="K39" i="4"/>
  <c r="H39" i="4"/>
  <c r="E34" i="4"/>
  <c r="H34" i="4"/>
  <c r="K34" i="4"/>
  <c r="K45" i="4"/>
  <c r="H45" i="4"/>
  <c r="E45" i="4"/>
  <c r="H29" i="4"/>
  <c r="K29" i="4"/>
  <c r="E29" i="4"/>
  <c r="K44" i="4"/>
  <c r="H44" i="4"/>
  <c r="E44" i="4"/>
  <c r="K28" i="4"/>
  <c r="E28" i="4"/>
  <c r="H28" i="4"/>
  <c r="G80" i="4"/>
  <c r="G11" i="4"/>
  <c r="M46" i="4"/>
  <c r="E35" i="4"/>
  <c r="K35" i="4"/>
  <c r="H35" i="4"/>
  <c r="E30" i="4"/>
  <c r="H30" i="4"/>
  <c r="K30" i="4"/>
  <c r="H41" i="4"/>
  <c r="K41" i="4"/>
  <c r="E41" i="4"/>
  <c r="K40" i="4"/>
  <c r="H40" i="4"/>
  <c r="E40" i="4"/>
  <c r="G78" i="4"/>
  <c r="I78" i="4"/>
  <c r="E78" i="4"/>
  <c r="I11" i="4"/>
  <c r="L12" i="4"/>
  <c r="F12" i="4"/>
  <c r="J12" i="4"/>
  <c r="C12" i="4"/>
  <c r="H12" i="4"/>
  <c r="A13" i="4"/>
  <c r="D12" i="4"/>
  <c r="E43" i="4"/>
  <c r="H43" i="4"/>
  <c r="K43" i="4"/>
  <c r="E31" i="4"/>
  <c r="H31" i="4"/>
  <c r="K31" i="4"/>
  <c r="H37" i="4"/>
  <c r="K37" i="4"/>
  <c r="E37" i="4"/>
  <c r="K36" i="4"/>
  <c r="E36" i="4"/>
  <c r="H36" i="4"/>
  <c r="K11" i="4"/>
  <c r="C81" i="4"/>
  <c r="H81" i="4"/>
  <c r="A82" i="4"/>
  <c r="F81" i="4"/>
  <c r="G81" i="4" s="1"/>
  <c r="E80" i="4"/>
  <c r="B46" i="1"/>
  <c r="C63" i="3"/>
  <c r="D63" i="3" s="1"/>
  <c r="C67" i="3"/>
  <c r="D67" i="3" s="1"/>
  <c r="C75" i="3"/>
  <c r="D75" i="3" s="1"/>
  <c r="C71" i="3"/>
  <c r="D71" i="3" s="1"/>
  <c r="F77" i="3"/>
  <c r="F78" i="3" s="1"/>
  <c r="D77" i="3"/>
  <c r="C74" i="3"/>
  <c r="D74" i="3" s="1"/>
  <c r="C70" i="3"/>
  <c r="D70" i="3" s="1"/>
  <c r="C66" i="3"/>
  <c r="D66" i="3" s="1"/>
  <c r="C26" i="3"/>
  <c r="C22" i="3"/>
  <c r="C18" i="3"/>
  <c r="E18" i="3" s="1"/>
  <c r="C14" i="3"/>
  <c r="C10" i="3"/>
  <c r="D26" i="3"/>
  <c r="D22" i="3"/>
  <c r="D18" i="3"/>
  <c r="D14" i="3"/>
  <c r="D10" i="3"/>
  <c r="C73" i="3"/>
  <c r="D73" i="3" s="1"/>
  <c r="C69" i="3"/>
  <c r="D69" i="3" s="1"/>
  <c r="C65" i="3"/>
  <c r="D65" i="3" s="1"/>
  <c r="C61" i="3"/>
  <c r="D61" i="3" s="1"/>
  <c r="C25" i="3"/>
  <c r="C21" i="3"/>
  <c r="C17" i="3"/>
  <c r="C13" i="3"/>
  <c r="D25" i="3"/>
  <c r="D21" i="3"/>
  <c r="D17" i="3"/>
  <c r="D13" i="3"/>
  <c r="C76" i="3"/>
  <c r="D76" i="3" s="1"/>
  <c r="C72" i="3"/>
  <c r="D72" i="3" s="1"/>
  <c r="C68" i="3"/>
  <c r="D68" i="3" s="1"/>
  <c r="C64" i="3"/>
  <c r="D64" i="3" s="1"/>
  <c r="C60" i="3"/>
  <c r="D60" i="3" s="1"/>
  <c r="D78" i="3" s="1"/>
  <c r="D79" i="3" s="1"/>
  <c r="C62" i="3"/>
  <c r="D62" i="3" s="1"/>
  <c r="E27" i="1"/>
  <c r="I108" i="4" l="1"/>
  <c r="E108" i="4"/>
  <c r="H131" i="4"/>
  <c r="I131" i="4" s="1"/>
  <c r="C131" i="4"/>
  <c r="E131" i="4" s="1"/>
  <c r="A132" i="4"/>
  <c r="F131" i="4"/>
  <c r="G131" i="4" s="1"/>
  <c r="E12" i="4"/>
  <c r="K108" i="4"/>
  <c r="C109" i="4"/>
  <c r="A110" i="4"/>
  <c r="J109" i="4"/>
  <c r="F109" i="4"/>
  <c r="G109" i="4" s="1"/>
  <c r="L109" i="4"/>
  <c r="M109" i="4" s="1"/>
  <c r="D109" i="4"/>
  <c r="H109" i="4"/>
  <c r="M108" i="4"/>
  <c r="I12" i="4"/>
  <c r="M12" i="4"/>
  <c r="K46" i="4"/>
  <c r="H46" i="4"/>
  <c r="I47" i="4" s="1"/>
  <c r="K12" i="4"/>
  <c r="A14" i="4"/>
  <c r="D13" i="4"/>
  <c r="L13" i="4"/>
  <c r="F13" i="4"/>
  <c r="J13" i="4"/>
  <c r="C13" i="4"/>
  <c r="E13" i="4" s="1"/>
  <c r="H13" i="4"/>
  <c r="G12" i="4"/>
  <c r="E46" i="4"/>
  <c r="E81" i="4"/>
  <c r="A83" i="4"/>
  <c r="F82" i="4"/>
  <c r="H82" i="4"/>
  <c r="C82" i="4"/>
  <c r="E82" i="4" s="1"/>
  <c r="I81" i="4"/>
  <c r="E25" i="3"/>
  <c r="E13" i="3"/>
  <c r="E17" i="3"/>
  <c r="E10" i="3"/>
  <c r="B29" i="3" s="1"/>
  <c r="B31" i="3" s="1"/>
  <c r="E26" i="3"/>
  <c r="E21" i="3"/>
  <c r="E14" i="3"/>
  <c r="E22" i="3"/>
  <c r="B118" i="4" l="1"/>
  <c r="I61" i="4"/>
  <c r="C61" i="4"/>
  <c r="B117" i="4"/>
  <c r="C60" i="4"/>
  <c r="I60" i="4"/>
  <c r="N47" i="4"/>
  <c r="H132" i="4"/>
  <c r="I132" i="4" s="1"/>
  <c r="C132" i="4"/>
  <c r="E132" i="4" s="1"/>
  <c r="A133" i="4"/>
  <c r="F132" i="4"/>
  <c r="G132" i="4" s="1"/>
  <c r="I109" i="4"/>
  <c r="K109" i="4"/>
  <c r="A111" i="4"/>
  <c r="J110" i="4"/>
  <c r="F110" i="4"/>
  <c r="L110" i="4"/>
  <c r="H110" i="4"/>
  <c r="D110" i="4"/>
  <c r="C110" i="4"/>
  <c r="E109" i="4"/>
  <c r="G13" i="4"/>
  <c r="I13" i="4"/>
  <c r="M13" i="4"/>
  <c r="K13" i="4"/>
  <c r="A15" i="4"/>
  <c r="H14" i="4"/>
  <c r="J14" i="4"/>
  <c r="C14" i="4"/>
  <c r="L14" i="4"/>
  <c r="F14" i="4"/>
  <c r="D14" i="4"/>
  <c r="G82" i="4"/>
  <c r="I82" i="4"/>
  <c r="F83" i="4"/>
  <c r="G83" i="4" s="1"/>
  <c r="H83" i="4"/>
  <c r="I83" i="4" s="1"/>
  <c r="C83" i="4"/>
  <c r="E83" i="4" s="1"/>
  <c r="A84" i="4"/>
  <c r="B40" i="3"/>
  <c r="C50" i="3" s="1"/>
  <c r="E110" i="4" l="1"/>
  <c r="G110" i="4"/>
  <c r="H133" i="4"/>
  <c r="I133" i="4" s="1"/>
  <c r="C133" i="4"/>
  <c r="E133" i="4" s="1"/>
  <c r="A134" i="4"/>
  <c r="F133" i="4"/>
  <c r="G133" i="4" s="1"/>
  <c r="G14" i="4"/>
  <c r="E14" i="4"/>
  <c r="K110" i="4"/>
  <c r="I110" i="4"/>
  <c r="L111" i="4"/>
  <c r="H111" i="4"/>
  <c r="D111" i="4"/>
  <c r="C111" i="4"/>
  <c r="F111" i="4"/>
  <c r="J111" i="4"/>
  <c r="M110" i="4"/>
  <c r="I14" i="4"/>
  <c r="K14" i="4"/>
  <c r="M14" i="4"/>
  <c r="A16" i="4"/>
  <c r="J15" i="4"/>
  <c r="C15" i="4"/>
  <c r="H15" i="4"/>
  <c r="D15" i="4"/>
  <c r="L15" i="4"/>
  <c r="F15" i="4"/>
  <c r="H84" i="4"/>
  <c r="I84" i="4" s="1"/>
  <c r="C84" i="4"/>
  <c r="E84" i="4" s="1"/>
  <c r="A85" i="4"/>
  <c r="F84" i="4"/>
  <c r="G84" i="4" s="1"/>
  <c r="C51" i="3"/>
  <c r="B90" i="3"/>
  <c r="B92" i="3" s="1"/>
  <c r="B101" i="3" s="1"/>
  <c r="G111" i="4" l="1"/>
  <c r="G112" i="4" s="1"/>
  <c r="M111" i="4"/>
  <c r="M112" i="4" s="1"/>
  <c r="E111" i="4"/>
  <c r="E112" i="4" s="1"/>
  <c r="H134" i="4"/>
  <c r="I134" i="4" s="1"/>
  <c r="I135" i="4" s="1"/>
  <c r="C134" i="4"/>
  <c r="E134" i="4" s="1"/>
  <c r="E135" i="4" s="1"/>
  <c r="B139" i="4" s="1"/>
  <c r="B143" i="4" s="1"/>
  <c r="F134" i="4"/>
  <c r="G134" i="4" s="1"/>
  <c r="G135" i="4" s="1"/>
  <c r="K111" i="4"/>
  <c r="K112" i="4" s="1"/>
  <c r="I111" i="4"/>
  <c r="I112" i="4" s="1"/>
  <c r="H113" i="4" s="1"/>
  <c r="I15" i="4"/>
  <c r="G15" i="4"/>
  <c r="E15" i="4"/>
  <c r="M15" i="4"/>
  <c r="K15" i="4"/>
  <c r="A17" i="4"/>
  <c r="L16" i="4"/>
  <c r="F16" i="4"/>
  <c r="D16" i="4"/>
  <c r="J16" i="4"/>
  <c r="C16" i="4"/>
  <c r="H16" i="4"/>
  <c r="C85" i="4"/>
  <c r="F85" i="4"/>
  <c r="H85" i="4"/>
  <c r="B116" i="4" l="1"/>
  <c r="H61" i="4"/>
  <c r="L113" i="4"/>
  <c r="B115" i="4"/>
  <c r="H60" i="4"/>
  <c r="B119" i="4"/>
  <c r="H136" i="4"/>
  <c r="B140" i="4" s="1"/>
  <c r="I16" i="4"/>
  <c r="E16" i="4"/>
  <c r="M16" i="4"/>
  <c r="K16" i="4"/>
  <c r="D17" i="4"/>
  <c r="A18" i="4"/>
  <c r="H17" i="4"/>
  <c r="L17" i="4"/>
  <c r="F17" i="4"/>
  <c r="G17" i="4" s="1"/>
  <c r="J17" i="4"/>
  <c r="C17" i="4"/>
  <c r="G16" i="4"/>
  <c r="E85" i="4"/>
  <c r="E86" i="4" s="1"/>
  <c r="I85" i="4"/>
  <c r="G85" i="4"/>
  <c r="G86" i="4" s="1"/>
  <c r="B92" i="4" l="1"/>
  <c r="E60" i="4"/>
  <c r="B120" i="4"/>
  <c r="J61" i="4"/>
  <c r="J60" i="4"/>
  <c r="M17" i="4"/>
  <c r="I86" i="4"/>
  <c r="H87" i="4" s="1"/>
  <c r="E17" i="4"/>
  <c r="I17" i="4"/>
  <c r="K17" i="4"/>
  <c r="A19" i="4"/>
  <c r="H18" i="4"/>
  <c r="C18" i="4"/>
  <c r="L18" i="4"/>
  <c r="F18" i="4"/>
  <c r="J18" i="4"/>
  <c r="D18" i="4"/>
  <c r="B93" i="4" l="1"/>
  <c r="E61" i="4"/>
  <c r="G61" i="4" s="1"/>
  <c r="G60" i="4"/>
  <c r="K18" i="4"/>
  <c r="I18" i="4"/>
  <c r="G18" i="4"/>
  <c r="M18" i="4"/>
  <c r="E18" i="4"/>
  <c r="J19" i="4"/>
  <c r="C19" i="4"/>
  <c r="L19" i="4"/>
  <c r="F19" i="4"/>
  <c r="H19" i="4"/>
  <c r="D19" i="4"/>
  <c r="M19" i="4" l="1"/>
  <c r="M20" i="4" s="1"/>
  <c r="E19" i="4"/>
  <c r="E20" i="4" s="1"/>
  <c r="I19" i="4"/>
  <c r="I20" i="4" s="1"/>
  <c r="K19" i="4"/>
  <c r="K20" i="4" s="1"/>
  <c r="G19" i="4"/>
  <c r="G20" i="4" s="1"/>
  <c r="B60" i="4" l="1"/>
  <c r="B52" i="4"/>
  <c r="D60" i="4"/>
  <c r="H21" i="4"/>
  <c r="B61" i="4" s="1"/>
  <c r="L21" i="4"/>
  <c r="B53" i="4" s="1"/>
  <c r="B51" i="4"/>
  <c r="D61" i="4" l="1"/>
</calcChain>
</file>

<file path=xl/sharedStrings.xml><?xml version="1.0" encoding="utf-8"?>
<sst xmlns="http://schemas.openxmlformats.org/spreadsheetml/2006/main" count="277" uniqueCount="152">
  <si>
    <t>Exercise 1</t>
  </si>
  <si>
    <t>Zero Rates</t>
  </si>
  <si>
    <t>Continuous Rate</t>
  </si>
  <si>
    <t>Part (a)</t>
  </si>
  <si>
    <t>Bond Coupon</t>
  </si>
  <si>
    <t>Maturity</t>
  </si>
  <si>
    <t>Price</t>
  </si>
  <si>
    <t>T</t>
  </si>
  <si>
    <t>Amount</t>
  </si>
  <si>
    <t>Part (b)</t>
  </si>
  <si>
    <t>Bond Cashflow</t>
  </si>
  <si>
    <t>Zero Rate</t>
  </si>
  <si>
    <t>Constant Z-Spread</t>
  </si>
  <si>
    <t>Zero Rate + Constant Z-Spread</t>
  </si>
  <si>
    <t>NPV</t>
  </si>
  <si>
    <t>Target Price</t>
  </si>
  <si>
    <t>&lt;- We used Excel Data Analysis Solver to find this value.</t>
  </si>
  <si>
    <t>Part C</t>
  </si>
  <si>
    <t>Let Z_1 and Z_2 be 1 year and 2 year z-spreads respectively. We need to find these two values to give the term structure.</t>
  </si>
  <si>
    <t>From the new bond in this part we can calculate Z_1.</t>
  </si>
  <si>
    <t>Z_1</t>
  </si>
  <si>
    <t>Now we go back to the bond in part (b), and use this Z_1 to calculate Z_2</t>
  </si>
  <si>
    <t>Zero Rate + Corresponding Z-spread</t>
  </si>
  <si>
    <t>We first know that the PV of the cashflow at T=1 is 4.840686, and thus the NPV of the cashflow at T=2 is 97.15931.</t>
  </si>
  <si>
    <t>PV</t>
  </si>
  <si>
    <t>Z_2</t>
  </si>
  <si>
    <t>Combining together, we get the 2-year term structure of z-spreads:</t>
  </si>
  <si>
    <t>Z-Spread</t>
  </si>
  <si>
    <t>Exercise 2</t>
  </si>
  <si>
    <t>Part A</t>
  </si>
  <si>
    <t xml:space="preserve">That is, </t>
  </si>
  <si>
    <t>Part B</t>
  </si>
  <si>
    <t>Thus,</t>
  </si>
  <si>
    <t>forward hazard rate:</t>
  </si>
  <si>
    <t>Exercise 3</t>
  </si>
  <si>
    <t>PV of Bullet</t>
  </si>
  <si>
    <t>Assume 100 face.</t>
  </si>
  <si>
    <t>To get the PV of coupon, we consider the following table</t>
  </si>
  <si>
    <t>Time</t>
  </si>
  <si>
    <t>Coupon Payment</t>
  </si>
  <si>
    <t>DiscountFactor</t>
  </si>
  <si>
    <t>P(tau&gt;time)</t>
  </si>
  <si>
    <t>Coupon*DiscountFactor*P(tau&gt;time)</t>
  </si>
  <si>
    <t>Since price = PV of bullet + PV of coupon strip + PV of the recovery,</t>
  </si>
  <si>
    <t>PV of Recovery:</t>
  </si>
  <si>
    <t xml:space="preserve">Note that </t>
  </si>
  <si>
    <t>Recall that</t>
  </si>
  <si>
    <t>V_bond = V_recovery + V_bullet + V_strip</t>
  </si>
  <si>
    <t>V_bullet and V_strip do not rely on the recovery rate. That is, if the recovery rate changes to 100%, only the V_recovery would change.</t>
  </si>
  <si>
    <t>V_recovery for 100% recovery rate = (original V_recovery) * 1 / original recovery rate.</t>
  </si>
  <si>
    <t>V_recovery for 100% recovery rate</t>
  </si>
  <si>
    <t>Price of bond under 100% recovery assumption is:</t>
  </si>
  <si>
    <t>Part D</t>
  </si>
  <si>
    <t>To find the price of the riskless bond, we consider the following cashflow</t>
  </si>
  <si>
    <t>The 100% recovery bond in part C is actually priced higher than riskless bond, as the prices compare: 92.03 &gt; 91.74.</t>
  </si>
  <si>
    <t>The 100% recovery rate and the fact that interest rate (5%) is greater than the coupon rate (4%) make the bond in part C more valuable than the riskless bond.</t>
  </si>
  <si>
    <t>In other words, the bond in part C benefits much if the bond defaults before the maturity. In the case of default, part C will make a bullet payment of 100% face value, which in turn can be</t>
  </si>
  <si>
    <t>*Note that even after the coupon rate (semiannual) is changed to continuous rate, it is much below 5%.</t>
  </si>
  <si>
    <t>Now let's consider if there is any coupon rate that makes the riskless bond more valuable than the bond in part C.</t>
  </si>
  <si>
    <t>Changing the coupon rate would not change V_recovery, nor V_bullet.</t>
  </si>
  <si>
    <t>V_recovery</t>
  </si>
  <si>
    <t>V_bullet</t>
  </si>
  <si>
    <t>Since we already know V_strip for c=4%, we know that V_strip for arbitrary c is just (V_strip for c=4%) * c / 0.04</t>
  </si>
  <si>
    <t>Coupon PV</t>
  </si>
  <si>
    <t>Coupon</t>
  </si>
  <si>
    <t>Bullet</t>
  </si>
  <si>
    <t>CouponTotal</t>
  </si>
  <si>
    <t>BondPrice</t>
  </si>
  <si>
    <t>BulletTotal</t>
  </si>
  <si>
    <t>Thus, for arbitrary coupon rate "c", the value of the 100% recovery bond is</t>
  </si>
  <si>
    <t>V_recovery+V_bullet</t>
  </si>
  <si>
    <t>62.40096967 + 29.6303 * c / 0.04</t>
  </si>
  <si>
    <t>On the other hand, given "c", the value of the riskless bond is</t>
  </si>
  <si>
    <t>60.65307+31.085717 * c / 0.04</t>
  </si>
  <si>
    <t>c &gt;</t>
  </si>
  <si>
    <t>invested at the interest rate (5%) that is higher than the coupon rate (4%). And this benefit outweighs the fact that when there is credit risk, the bullet and coupon strip are further discounted for the hazard rate.</t>
  </si>
  <si>
    <t>Risk free rate</t>
  </si>
  <si>
    <t>z-spread</t>
  </si>
  <si>
    <t>Cashflow</t>
  </si>
  <si>
    <t>SurvivalProb</t>
  </si>
  <si>
    <t>Original</t>
  </si>
  <si>
    <t>Risk free rate 1bp widening</t>
  </si>
  <si>
    <t>Risk free rate 1bp tightening</t>
  </si>
  <si>
    <t>Numerical Duration</t>
  </si>
  <si>
    <t>Z-Spread 1bp widening</t>
  </si>
  <si>
    <t>Z-spread 1bp tightening</t>
  </si>
  <si>
    <t>Numerical Spread Duration</t>
  </si>
  <si>
    <t>z-spread at 1</t>
  </si>
  <si>
    <t>Part ( c )</t>
  </si>
  <si>
    <t>Cash Flow Amount</t>
  </si>
  <si>
    <t>On the other hand, PV of cashflow at T=2 can be given as</t>
  </si>
  <si>
    <t>(unconditional probability of default in the second year)</t>
  </si>
  <si>
    <t>(conditional probability of default in the second year on survival for the first year)</t>
  </si>
  <si>
    <t>PV of coupon strip is</t>
  </si>
  <si>
    <t>Recovery Rate:</t>
  </si>
  <si>
    <t>Because the recovery amount is linearly proportional to the recovery rate, we know</t>
  </si>
  <si>
    <t>Bullet PV</t>
  </si>
  <si>
    <t>Thus, the latter is greater than the former if and only if:</t>
  </si>
  <si>
    <t>Survival Probability:P(tau&gt;t)</t>
  </si>
  <si>
    <t xml:space="preserve">NPV =  </t>
  </si>
  <si>
    <t>Consider a portfolio consisting of a long position in the bond from part A and a short position in the bond from part B, with both positions having 100 face.</t>
  </si>
  <si>
    <t xml:space="preserve">NPV = </t>
  </si>
  <si>
    <t xml:space="preserve">Duration = </t>
  </si>
  <si>
    <t xml:space="preserve">Spread Duration = </t>
  </si>
  <si>
    <t>Fixed leg</t>
  </si>
  <si>
    <t>Floating leg</t>
  </si>
  <si>
    <t xml:space="preserve">NPV of swap = </t>
  </si>
  <si>
    <t xml:space="preserve">Duration of swap = </t>
  </si>
  <si>
    <t>Duration =</t>
  </si>
  <si>
    <t>Swap</t>
  </si>
  <si>
    <t>Case i) The same swap contract as in Part C without credit risk</t>
  </si>
  <si>
    <t>Case ii) Change the fixed coupon rate to 6.5%</t>
  </si>
  <si>
    <t>Risky</t>
  </si>
  <si>
    <t>Risky fixed leg (modified by coupon rate)</t>
  </si>
  <si>
    <t>Part C - risky swap</t>
  </si>
  <si>
    <t>Riskless swap</t>
  </si>
  <si>
    <t>NPV - fixed leg</t>
  </si>
  <si>
    <t>Duration - fixed leg</t>
  </si>
  <si>
    <t>NPV - floating leg</t>
  </si>
  <si>
    <t>Duration - floating leg</t>
  </si>
  <si>
    <t>Duration</t>
  </si>
  <si>
    <t>Risky swap (with coupon rate = 6.5%)</t>
  </si>
  <si>
    <t>Riskless swap (with coupon rate = 6.5%) setting survival probability to 1</t>
  </si>
  <si>
    <t>Riskless fixed leg (setting survival probability to 1)</t>
  </si>
  <si>
    <t>Riskless fixed leg (coupon rate = 6.5%; setting survival probability to 1)</t>
  </si>
  <si>
    <t xml:space="preserve">Part D </t>
  </si>
  <si>
    <t>Summary (please find calculation details below the summary table)</t>
  </si>
  <si>
    <t>Coupon rate = 2.515%</t>
  </si>
  <si>
    <t>Riskless</t>
  </si>
  <si>
    <t>Coupon rate = 6.5%</t>
  </si>
  <si>
    <t xml:space="preserve">Comments: </t>
  </si>
  <si>
    <t>Cacluation details:</t>
  </si>
  <si>
    <t>Risk-free Rate</t>
  </si>
  <si>
    <t>Recovery rate</t>
  </si>
  <si>
    <t>Payment frequency</t>
  </si>
  <si>
    <t>Hazard rate</t>
  </si>
  <si>
    <t>Risk annuity with unit notional</t>
  </si>
  <si>
    <t>Terms in risk annuity with unit notional</t>
  </si>
  <si>
    <t>Premium Leg</t>
  </si>
  <si>
    <t>Protection Leg</t>
  </si>
  <si>
    <t>par CDS spread on the 3Y contract</t>
  </si>
  <si>
    <t>The 5Y par CDS spread is minimized by minimizing the differences between successive survival probabilities, according the above formula.</t>
  </si>
  <si>
    <t>This can be achived by assuming that the survival probabilities after 3 years are kept unchanged.</t>
  </si>
  <si>
    <t>Discount factors</t>
  </si>
  <si>
    <t>Survival Probabilities</t>
  </si>
  <si>
    <t>par CDS spread on the %Y contract</t>
  </si>
  <si>
    <t>Terms in protection leg with unit notional</t>
  </si>
  <si>
    <t>NPV of swap</t>
  </si>
  <si>
    <t>Duration of swap</t>
  </si>
  <si>
    <r>
      <t xml:space="preserve">(1.1) When coupon rate = 2.515%, the credit risk makes a big difference in the </t>
    </r>
    <r>
      <rPr>
        <b/>
        <sz val="11"/>
        <color rgb="FFFF0000"/>
        <rFont val="Calibri"/>
        <family val="2"/>
        <scheme val="minor"/>
      </rPr>
      <t>present value</t>
    </r>
    <r>
      <rPr>
        <b/>
        <sz val="11"/>
        <rFont val="Calibri"/>
        <family val="2"/>
        <scheme val="minor"/>
      </rPr>
      <t xml:space="preserve"> of the risky swap compared to the riskless swap. The risky swap has an NPV magnitude about 3 times larger than that of riskless swap. See column D60-61 compared with column G60-61.</t>
    </r>
  </si>
  <si>
    <r>
      <t xml:space="preserve">(1.2) When coupon rate = 2.515%, the credit risk does NOT make a significant difference in the </t>
    </r>
    <r>
      <rPr>
        <b/>
        <sz val="11"/>
        <color rgb="FFFF0000"/>
        <rFont val="Calibri"/>
        <family val="2"/>
        <scheme val="minor"/>
      </rPr>
      <t>duration</t>
    </r>
    <r>
      <rPr>
        <b/>
        <sz val="11"/>
        <rFont val="Calibri"/>
        <family val="2"/>
        <scheme val="minor"/>
      </rPr>
      <t xml:space="preserve"> of the risky swap compared to the riskless swap.  See column D60-61 compared with column G60-61.</t>
    </r>
  </si>
  <si>
    <t>(2) When coupon rate = 6.5%, the credit risk does NOT make a significant different in the present value or duration of the risky swap compared to the riskless swap. See column J60-61 compared with column M60-61.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</si>
</sst>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/>
      <bottom style="medium">
        <color theme="4" tint="0.39997558519241921"/>
      </bottom>
      <diagonal/>
    </border>
    <border>
      <left/>
      <right style="medium">
        <color indexed="64"/>
      </right>
      <top/>
      <bottom style="medium">
        <color theme="4" tint="0.39997558519241921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medium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4" tint="0.39997558519241921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3F3F3F"/>
      </left>
      <right style="thin">
        <color rgb="FF3F3F3F"/>
      </right>
      <top/>
      <bottom/>
      <diagonal/>
    </border>
    <border>
      <left/>
      <right/>
      <top style="thin">
        <color rgb="FFB2B2B2"/>
      </top>
      <bottom/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</borders>
  <cellStyleXfs count="9">
    <xf numFmtId="0" fontId="0" fillId="0" borderId="0"/>
    <xf numFmtId="0" fontId="3" fillId="0" borderId="9" applyNumberFormat="0" applyFill="0" applyAlignment="0" applyProtection="0"/>
    <xf numFmtId="0" fontId="3" fillId="0" borderId="0" applyNumberFormat="0" applyFill="0" applyBorder="0" applyAlignment="0" applyProtection="0"/>
    <xf numFmtId="0" fontId="4" fillId="3" borderId="10" applyNumberFormat="0" applyAlignment="0" applyProtection="0"/>
    <xf numFmtId="0" fontId="5" fillId="4" borderId="11" applyNumberFormat="0" applyAlignment="0" applyProtection="0"/>
    <xf numFmtId="0" fontId="2" fillId="5" borderId="12" applyNumberFormat="0" applyFont="0" applyAlignment="0" applyProtection="0"/>
    <xf numFmtId="0" fontId="1" fillId="0" borderId="13" applyNumberFormat="0" applyFill="0" applyAlignment="0" applyProtection="0"/>
    <xf numFmtId="0" fontId="7" fillId="0" borderId="23" applyNumberFormat="0" applyFill="0" applyAlignment="0" applyProtection="0"/>
    <xf numFmtId="0" fontId="8" fillId="6" borderId="0" applyNumberFormat="0" applyBorder="0" applyAlignment="0" applyProtection="0"/>
  </cellStyleXfs>
  <cellXfs count="73">
    <xf numFmtId="0" fontId="0" fillId="0" borderId="0" xfId="0"/>
    <xf numFmtId="0" fontId="1" fillId="2" borderId="0" xfId="0" applyFont="1" applyFill="1"/>
    <xf numFmtId="0" fontId="1" fillId="0" borderId="0" xfId="0" applyFont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8" xfId="0" applyFont="1" applyBorder="1"/>
    <xf numFmtId="0" fontId="3" fillId="0" borderId="9" xfId="1"/>
    <xf numFmtId="0" fontId="4" fillId="3" borderId="10" xfId="3"/>
    <xf numFmtId="0" fontId="3" fillId="0" borderId="0" xfId="2"/>
    <xf numFmtId="0" fontId="3" fillId="0" borderId="9" xfId="1" applyAlignment="1">
      <alignment horizontal="right"/>
    </xf>
    <xf numFmtId="0" fontId="3" fillId="0" borderId="9" xfId="2" applyBorder="1"/>
    <xf numFmtId="0" fontId="1" fillId="0" borderId="9" xfId="1" applyFont="1"/>
    <xf numFmtId="0" fontId="5" fillId="4" borderId="11" xfId="4"/>
    <xf numFmtId="0" fontId="0" fillId="5" borderId="12" xfId="5" applyFont="1"/>
    <xf numFmtId="0" fontId="3" fillId="0" borderId="9" xfId="1" applyAlignment="1"/>
    <xf numFmtId="0" fontId="3" fillId="0" borderId="0" xfId="2" applyAlignment="1">
      <alignment horizontal="center"/>
    </xf>
    <xf numFmtId="0" fontId="3" fillId="0" borderId="4" xfId="2" applyBorder="1"/>
    <xf numFmtId="0" fontId="3" fillId="0" borderId="5" xfId="2" applyFill="1" applyBorder="1"/>
    <xf numFmtId="0" fontId="3" fillId="0" borderId="0" xfId="2" applyBorder="1"/>
    <xf numFmtId="0" fontId="3" fillId="0" borderId="5" xfId="2" applyFill="1" applyBorder="1" applyAlignment="1">
      <alignment horizontal="center"/>
    </xf>
    <xf numFmtId="0" fontId="3" fillId="0" borderId="4" xfId="2" applyFill="1" applyBorder="1"/>
    <xf numFmtId="0" fontId="3" fillId="0" borderId="7" xfId="2" applyBorder="1" applyAlignment="1">
      <alignment horizontal="right"/>
    </xf>
    <xf numFmtId="0" fontId="3" fillId="0" borderId="14" xfId="1" applyBorder="1"/>
    <xf numFmtId="0" fontId="3" fillId="0" borderId="9" xfId="1" applyBorder="1"/>
    <xf numFmtId="0" fontId="3" fillId="0" borderId="15" xfId="1" applyBorder="1" applyAlignment="1">
      <alignment horizontal="center"/>
    </xf>
    <xf numFmtId="0" fontId="5" fillId="4" borderId="16" xfId="4" applyBorder="1"/>
    <xf numFmtId="0" fontId="3" fillId="0" borderId="15" xfId="1" applyFill="1" applyBorder="1" applyAlignment="1">
      <alignment horizontal="center"/>
    </xf>
    <xf numFmtId="0" fontId="3" fillId="0" borderId="14" xfId="1" applyFill="1" applyBorder="1"/>
    <xf numFmtId="0" fontId="3" fillId="0" borderId="15" xfId="1" applyFill="1" applyBorder="1"/>
    <xf numFmtId="0" fontId="6" fillId="0" borderId="0" xfId="1" applyFont="1" applyFill="1" applyBorder="1"/>
    <xf numFmtId="0" fontId="1" fillId="5" borderId="12" xfId="5" applyFont="1"/>
    <xf numFmtId="0" fontId="1" fillId="0" borderId="0" xfId="0" applyFont="1" applyAlignment="1"/>
    <xf numFmtId="0" fontId="1" fillId="5" borderId="12" xfId="5" applyFont="1" applyAlignment="1"/>
    <xf numFmtId="0" fontId="6" fillId="0" borderId="0" xfId="2" applyFont="1"/>
    <xf numFmtId="0" fontId="6" fillId="0" borderId="0" xfId="0" applyFont="1"/>
    <xf numFmtId="0" fontId="3" fillId="0" borderId="5" xfId="2" applyBorder="1"/>
    <xf numFmtId="0" fontId="6" fillId="0" borderId="19" xfId="1" applyFont="1" applyFill="1" applyBorder="1"/>
    <xf numFmtId="0" fontId="6" fillId="0" borderId="20" xfId="1" applyFont="1" applyFill="1" applyBorder="1"/>
    <xf numFmtId="0" fontId="6" fillId="0" borderId="21" xfId="1" applyFont="1" applyFill="1" applyBorder="1"/>
    <xf numFmtId="0" fontId="6" fillId="5" borderId="12" xfId="5" applyFont="1" applyAlignment="1">
      <alignment horizontal="left"/>
    </xf>
    <xf numFmtId="0" fontId="8" fillId="6" borderId="24" xfId="8" applyBorder="1"/>
    <xf numFmtId="0" fontId="1" fillId="0" borderId="25" xfId="0" applyFont="1" applyBorder="1" applyAlignment="1"/>
    <xf numFmtId="0" fontId="0" fillId="2" borderId="0" xfId="0" applyFill="1"/>
    <xf numFmtId="0" fontId="1" fillId="0" borderId="13" xfId="6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5" borderId="12" xfId="5" applyFont="1" applyAlignment="1">
      <alignment horizontal="left"/>
    </xf>
    <xf numFmtId="0" fontId="3" fillId="0" borderId="9" xfId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3" fillId="0" borderId="9" xfId="1" applyAlignment="1">
      <alignment horizontal="center"/>
    </xf>
    <xf numFmtId="0" fontId="3" fillId="0" borderId="2" xfId="1" applyBorder="1" applyAlignment="1">
      <alignment horizontal="center"/>
    </xf>
    <xf numFmtId="0" fontId="3" fillId="0" borderId="3" xfId="1" applyBorder="1" applyAlignment="1">
      <alignment horizontal="center"/>
    </xf>
    <xf numFmtId="0" fontId="3" fillId="0" borderId="22" xfId="1" applyBorder="1" applyAlignment="1">
      <alignment horizontal="center"/>
    </xf>
    <xf numFmtId="0" fontId="3" fillId="0" borderId="17" xfId="1" applyBorder="1" applyAlignment="1">
      <alignment horizontal="center"/>
    </xf>
    <xf numFmtId="0" fontId="3" fillId="0" borderId="18" xfId="1" applyBorder="1" applyAlignment="1">
      <alignment horizontal="center"/>
    </xf>
    <xf numFmtId="0" fontId="6" fillId="5" borderId="12" xfId="5" applyFont="1" applyAlignment="1">
      <alignment horizontal="left"/>
    </xf>
    <xf numFmtId="0" fontId="0" fillId="0" borderId="0" xfId="0" applyBorder="1" applyAlignment="1">
      <alignment horizontal="center"/>
    </xf>
    <xf numFmtId="0" fontId="7" fillId="0" borderId="0" xfId="7" applyFill="1" applyBorder="1" applyAlignment="1">
      <alignment horizontal="left"/>
    </xf>
    <xf numFmtId="0" fontId="5" fillId="4" borderId="11" xfId="4" applyBorder="1"/>
    <xf numFmtId="0" fontId="5" fillId="4" borderId="26" xfId="4" applyBorder="1"/>
    <xf numFmtId="0" fontId="5" fillId="4" borderId="27" xfId="4" applyBorder="1"/>
    <xf numFmtId="0" fontId="2" fillId="0" borderId="0" xfId="0" applyFont="1"/>
    <xf numFmtId="0" fontId="6" fillId="5" borderId="12" xfId="5" applyFont="1" applyAlignment="1"/>
    <xf numFmtId="0" fontId="2" fillId="5" borderId="12" xfId="5" applyFont="1"/>
  </cellXfs>
  <cellStyles count="9">
    <cellStyle name="Accent5" xfId="8" builtinId="45"/>
    <cellStyle name="Heading 2" xfId="7" builtinId="17"/>
    <cellStyle name="Heading 3" xfId="1" builtinId="18"/>
    <cellStyle name="Heading 4" xfId="2" builtinId="19"/>
    <cellStyle name="Input" xfId="3" builtinId="20"/>
    <cellStyle name="Normal" xfId="0" builtinId="0"/>
    <cellStyle name="Note" xfId="5" builtinId="10"/>
    <cellStyle name="Output" xfId="4" builtinId="21"/>
    <cellStyle name="Total" xfId="6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12</xdr:row>
          <xdr:rowOff>104775</xdr:rowOff>
        </xdr:from>
        <xdr:to>
          <xdr:col>5</xdr:col>
          <xdr:colOff>76200</xdr:colOff>
          <xdr:row>14</xdr:row>
          <xdr:rowOff>171450</xdr:rowOff>
        </xdr:to>
        <xdr:sp macro="" textlink="">
          <xdr:nvSpPr>
            <xdr:cNvPr id="3074" name="Object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oneCellAnchor>
    <xdr:from>
      <xdr:col>0</xdr:col>
      <xdr:colOff>9525</xdr:colOff>
      <xdr:row>31</xdr:row>
      <xdr:rowOff>180975</xdr:rowOff>
    </xdr:from>
    <xdr:ext cx="4124325" cy="2371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9525" y="6200775"/>
              <a:ext cx="4124325" cy="237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b="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/>
                          </a:rPr>
                          <m:t>1</m:t>
                        </m:r>
                      </m:sub>
                    </m:sSub>
                    <m:r>
                      <a:rPr lang="en-US" sz="1100" b="0" i="1">
                        <a:latin typeface="Cambria Math"/>
                      </a:rPr>
                      <m:t>=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</a:rPr>
                          <m:t>𝑁</m:t>
                        </m:r>
                        <m:r>
                          <a:rPr lang="en-US" sz="1100" b="0" i="1">
                            <a:latin typeface="Cambria Math"/>
                          </a:rPr>
                          <m:t>+</m:t>
                        </m:r>
                        <m:r>
                          <a:rPr lang="en-US" sz="1100" b="0" i="1">
                            <a:latin typeface="Cambria Math"/>
                          </a:rPr>
                          <m:t>𝑁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1</m:t>
                            </m:r>
                          </m:sub>
                        </m:sSub>
                      </m:e>
                    </m:d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−(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𝑟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/>
                          </a:rPr>
                          <m:t>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/>
                          </a:rPr>
                          <m:t>)</m:t>
                        </m:r>
                      </m:sup>
                    </m:sSup>
                    <m:r>
                      <a:rPr lang="en-US" sz="1100" b="0" i="1">
                        <a:latin typeface="Cambria Math"/>
                      </a:rPr>
                      <m:t> </m:t>
                    </m:r>
                    <m:r>
                      <a:rPr lang="en-US" sz="1100" b="0" i="1">
                        <a:latin typeface="Cambria Math"/>
                        <a:ea typeface="Cambria Math"/>
                      </a:rPr>
                      <m:t>→</m:t>
                    </m:r>
                    <m:r>
                      <a:rPr lang="en-US" sz="1100" b="0" i="1">
                        <a:latin typeface="Cambria Math"/>
                      </a:rPr>
                      <m:t>98.75=102</m:t>
                    </m:r>
                    <m:r>
                      <a:rPr lang="en-US" sz="1100" b="0" i="0">
                        <a:latin typeface="Cambria Math"/>
                        <a:ea typeface="Cambria Math"/>
                      </a:rPr>
                      <m:t>×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−(0.03+</m:t>
                        </m:r>
                        <m:sSub>
                          <m:sSubPr>
                            <m:ctrlPr>
                              <a:rPr lang="en-US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𝑧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/>
                                <a:ea typeface="Cambria Math"/>
                              </a:rPr>
                              <m:t>1</m:t>
                            </m:r>
                          </m:sub>
                        </m:sSub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)</m:t>
                        </m:r>
                      </m:sup>
                    </m:sSup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9525" y="6200775"/>
              <a:ext cx="4124325" cy="2371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𝑉_1=(𝑁+𝑁𝑐_1 ) 𝑒^(−(𝑟_1+𝑧_1))  </a:t>
              </a:r>
              <a:r>
                <a:rPr lang="en-US" sz="1100" b="0" i="0">
                  <a:latin typeface="Cambria Math"/>
                  <a:ea typeface="Cambria Math"/>
                </a:rPr>
                <a:t>→</a:t>
              </a:r>
              <a:r>
                <a:rPr lang="en-US" sz="1100" b="0" i="0">
                  <a:latin typeface="Cambria Math"/>
                </a:rPr>
                <a:t>98.75=102</a:t>
              </a:r>
              <a:r>
                <a:rPr lang="en-US" sz="1100" b="0" i="0">
                  <a:latin typeface="+mn-lt"/>
                  <a:ea typeface="Cambria Math"/>
                </a:rPr>
                <a:t>×</a:t>
              </a:r>
              <a:r>
                <a:rPr lang="en-US" sz="1100" b="0" i="0">
                  <a:latin typeface="Cambria Math"/>
                  <a:ea typeface="Cambria Math"/>
                </a:rPr>
                <a:t>𝑒^(−(0.03+𝑧_1))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3</xdr:col>
      <xdr:colOff>66675</xdr:colOff>
      <xdr:row>39</xdr:row>
      <xdr:rowOff>142874</xdr:rowOff>
    </xdr:from>
    <xdr:ext cx="2552700" cy="2381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3286125" y="7800974"/>
              <a:ext cx="2552700" cy="2381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/>
                    </a:rPr>
                    <m:t>105 </m:t>
                  </m:r>
                  <m:sSup>
                    <m:sSupPr>
                      <m:ctrlPr>
                        <a:rPr lang="en-US" sz="1100" b="0" i="1">
                          <a:latin typeface="Cambria Math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/>
                        </a:rPr>
                        <m:t>−2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×(0.035+</m:t>
                      </m:r>
                      <m:sSub>
                        <m:sSubPr>
                          <m:ctrlPr>
                            <a:rPr lang="en-US" sz="1100" b="0" i="1">
                              <a:latin typeface="Cambria Math"/>
                              <a:ea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𝑧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  <a:ea typeface="Cambria Math"/>
                            </a:rPr>
                            <m:t>2</m:t>
                          </m:r>
                        </m:sub>
                      </m:sSub>
                      <m:r>
                        <a:rPr lang="en-US" sz="1100" b="0" i="1">
                          <a:latin typeface="Cambria Math"/>
                          <a:ea typeface="Cambria Math"/>
                        </a:rPr>
                        <m:t>)</m:t>
                      </m:r>
                    </m:sup>
                  </m:sSup>
                </m:oMath>
              </a14:m>
              <a:r>
                <a:rPr lang="en-US" sz="1100"/>
                <a:t> = 97.15931</a:t>
              </a:r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3286125" y="7800974"/>
              <a:ext cx="2552700" cy="2381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105 𝑒^(−2</a:t>
              </a:r>
              <a:r>
                <a:rPr lang="en-US" sz="1100" b="0" i="0">
                  <a:latin typeface="Cambria Math"/>
                  <a:ea typeface="Cambria Math"/>
                </a:rPr>
                <a:t>×(0.035+𝑧_2))</a:t>
              </a:r>
              <a:r>
                <a:rPr lang="en-US" sz="1100"/>
                <a:t> = 97.15931</a:t>
              </a:r>
            </a:p>
          </xdr:txBody>
        </xdr:sp>
      </mc:Fallback>
    </mc:AlternateContent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106681</xdr:colOff>
      <xdr:row>20</xdr:row>
      <xdr:rowOff>9525</xdr:rowOff>
    </xdr:from>
    <xdr:ext cx="6227444" cy="43166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/>
            <xdr:cNvSpPr txBox="1"/>
          </xdr:nvSpPr>
          <xdr:spPr>
            <a:xfrm>
              <a:off x="106681" y="3800475"/>
              <a:ext cx="6227444" cy="4316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 panose="02040503050406030204" pitchFamily="18" charset="0"/>
                    </a:rPr>
                    <m:t>𝑃</m:t>
                  </m:r>
                  <m:d>
                    <m:dPr>
                      <m:endChr m:val="|"/>
                      <m:ctrlPr>
                        <a:rPr lang="en-US" sz="1400" b="0" i="1">
                          <a:latin typeface="Cambria Math"/>
                        </a:rPr>
                      </m:ctrlPr>
                    </m:dPr>
                    <m:e>
                      <m:r>
                        <a:rPr lang="en-US" sz="1400" b="0" i="1">
                          <a:latin typeface="Cambria Math" panose="02040503050406030204" pitchFamily="18" charset="0"/>
                        </a:rPr>
                        <m:t>2&gt;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𝜏</m:t>
                      </m:r>
                    </m:e>
                  </m:d>
                  <m:r>
                    <a:rPr lang="en-US" sz="1400" b="0" i="1">
                      <a:latin typeface="Cambria Math" panose="02040503050406030204" pitchFamily="18" charset="0"/>
                    </a:rPr>
                    <m:t> </m:t>
                  </m:r>
                  <m:r>
                    <a:rPr lang="en-US" sz="1400" b="0" i="1">
                      <a:latin typeface="Cambria Math"/>
                      <a:ea typeface="Cambria Math"/>
                    </a:rPr>
                    <m:t>𝜏</m:t>
                  </m:r>
                  <m:r>
                    <a:rPr lang="en-US" sz="1400" b="0" i="1">
                      <a:latin typeface="Cambria Math" panose="02040503050406030204" pitchFamily="18" charset="0"/>
                    </a:rPr>
                    <m:t>&gt;1)=</m:t>
                  </m:r>
                  <m:nary>
                    <m:naryPr>
                      <m:ctrlPr>
                        <a:rPr lang="en-US" sz="1400" b="0" i="1">
                          <a:latin typeface="Cambria Math"/>
                        </a:rPr>
                      </m:ctrlPr>
                    </m:naryPr>
                    <m:sub>
                      <m:r>
                        <m:rPr>
                          <m:brk m:alnAt="23"/>
                        </m:rPr>
                        <a:rPr lang="en-US" sz="1400" b="0" i="1">
                          <a:latin typeface="Cambria Math" panose="02040503050406030204" pitchFamily="18" charset="0"/>
                        </a:rPr>
                        <m:t>0</m:t>
                      </m:r>
                    </m:sub>
                    <m:sup>
                      <m:r>
                        <a:rPr lang="en-US" sz="1400" b="0" i="1">
                          <a:latin typeface="Cambria Math" panose="02040503050406030204" pitchFamily="18" charset="0"/>
                        </a:rPr>
                        <m:t>1</m:t>
                      </m:r>
                    </m:sup>
                    <m:e>
                      <m:sSub>
                        <m:sSub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latin typeface="Cambria Math" panose="02040503050406030204" pitchFamily="18" charset="0"/>
                              <a:ea typeface="Cambria Math" panose="02040503050406030204" pitchFamily="18" charset="0"/>
                            </a:rPr>
                            <m:t>𝜆</m:t>
                          </m:r>
                        </m:e>
                        <m:sub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𝑓𝑤𝑑</m:t>
                          </m:r>
                        </m:sub>
                      </m:sSub>
                      <m:r>
                        <a:rPr lang="en-US" sz="1400" b="0" i="1">
                          <a:latin typeface="Cambria Math" panose="02040503050406030204" pitchFamily="18" charset="0"/>
                        </a:rPr>
                        <m:t> </m:t>
                      </m:r>
                      <m:sSup>
                        <m:sSupPr>
                          <m:ctrlPr>
                            <a:rPr lang="en-US" sz="1400" b="0" i="1">
                              <a:latin typeface="Cambria Math"/>
                            </a:rPr>
                          </m:ctrlPr>
                        </m:sSupPr>
                        <m:e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𝑒</m:t>
                          </m:r>
                        </m:e>
                        <m:sup>
                          <m:r>
                            <a:rPr lang="en-US" sz="1400" b="0" i="1">
                              <a:latin typeface="Cambria Math" panose="02040503050406030204" pitchFamily="18" charset="0"/>
                            </a:rPr>
                            <m:t>−</m:t>
                          </m:r>
                          <m:sSub>
                            <m:sSubPr>
                              <m:ctrlP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/>
                                  <a:ea typeface="+mn-ea"/>
                                  <a:cs typeface="+mn-cs"/>
                                </a:rPr>
                              </m:ctrlPr>
                            </m:sSubPr>
                            <m:e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𝜆</m:t>
                              </m:r>
                            </m:e>
                            <m:sub>
                              <m:r>
                                <a:rPr lang="en-US" sz="1400" b="0" i="1">
                                  <a:solidFill>
                                    <a:schemeClr val="tx1"/>
                                  </a:solidFill>
                                  <a:effectLst/>
                                  <a:latin typeface="Cambria Math" panose="02040503050406030204" pitchFamily="18" charset="0"/>
                                  <a:ea typeface="+mn-ea"/>
                                  <a:cs typeface="+mn-cs"/>
                                </a:rPr>
                                <m:t>𝑓𝑤𝑑</m:t>
                              </m:r>
                            </m:sub>
                          </m:s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𝑢</m:t>
                          </m:r>
                        </m:sup>
                      </m:sSup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𝑑𝑢</m:t>
                      </m:r>
                    </m:e>
                  </m:nary>
                  <m:r>
                    <a:rPr lang="en-US" sz="1400" b="0" i="1">
                      <a:latin typeface="Cambria Math" panose="02040503050406030204" pitchFamily="18" charset="0"/>
                    </a:rPr>
                    <m:t>=1−</m:t>
                  </m:r>
                  <m:sSup>
                    <m:sSupPr>
                      <m:ctrlPr>
                        <a:rPr lang="en-US" sz="1400" b="0" i="1">
                          <a:latin typeface="Cambria Math"/>
                        </a:rPr>
                      </m:ctrlPr>
                    </m:sSupPr>
                    <m:e>
                      <m:r>
                        <a:rPr lang="en-US" sz="1400" b="0" i="1">
                          <a:latin typeface="Cambria Math" panose="02040503050406030204" pitchFamily="18" charset="0"/>
                        </a:rPr>
                        <m:t>𝑒</m:t>
                      </m:r>
                    </m:e>
                    <m:sup>
                      <m:r>
                        <a:rPr lang="en-US" sz="1400" b="0" i="1">
                          <a:latin typeface="Cambria Math" panose="02040503050406030204" pitchFamily="18" charset="0"/>
                        </a:rPr>
                        <m:t>−</m:t>
                      </m:r>
                      <m:sSub>
                        <m:sSubPr>
                          <m:ctrlP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𝜆</m:t>
                          </m:r>
                        </m:e>
                        <m:sub>
                          <m:r>
                            <a:rPr lang="en-US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𝑓𝑤𝑑</m:t>
                          </m:r>
                        </m:sub>
                      </m:sSub>
                    </m:sup>
                  </m:sSup>
                </m:oMath>
              </a14:m>
              <a:r>
                <a:rPr lang="en-US" sz="1400"/>
                <a:t>  </a:t>
              </a:r>
              <a14:m>
                <m:oMath xmlns:m="http://schemas.openxmlformats.org/officeDocument/2006/math">
                  <m:r>
                    <a:rPr lang="en-US" sz="1400" i="1">
                      <a:latin typeface="Cambria Math"/>
                      <a:ea typeface="Cambria Math"/>
                    </a:rPr>
                    <m:t>→</m:t>
                  </m:r>
                  <m:r>
                    <a:rPr lang="en-US" sz="1400" b="0" i="1">
                      <a:latin typeface="Cambria Math"/>
                      <a:ea typeface="Cambria Math"/>
                    </a:rPr>
                    <m:t> </m:t>
                  </m:r>
                  <m:sSub>
                    <m:sSubPr>
                      <m:ctrlP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𝜆</m:t>
                      </m:r>
                    </m:e>
                    <m:sub>
                      <m:r>
                        <a:rPr lang="en-US" sz="14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𝑓𝑤𝑑</m:t>
                      </m:r>
                    </m:sub>
                  </m:sSub>
                </m:oMath>
              </a14:m>
              <a:r>
                <a:rPr lang="en-US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-ln(1-0.008563)</a:t>
              </a:r>
              <a:endParaRPr lang="en-US" sz="1400">
                <a:effectLst/>
              </a:endParaRPr>
            </a:p>
          </xdr:txBody>
        </xdr:sp>
      </mc:Choice>
      <mc:Fallback xmlns="">
        <xdr:sp macro="" textlink="">
          <xdr:nvSpPr>
            <xdr:cNvPr id="6" name="TextBox 5"/>
            <xdr:cNvSpPr txBox="1"/>
          </xdr:nvSpPr>
          <xdr:spPr>
            <a:xfrm>
              <a:off x="106681" y="3800475"/>
              <a:ext cx="6227444" cy="43166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𝑃</a:t>
              </a:r>
              <a:r>
                <a:rPr lang="en-US" sz="1400" b="0" i="0">
                  <a:latin typeface="Cambria Math"/>
                </a:rPr>
                <a:t>(</a:t>
              </a:r>
              <a:r>
                <a:rPr lang="en-US" sz="1400" b="0" i="0">
                  <a:latin typeface="Cambria Math" panose="02040503050406030204" pitchFamily="18" charset="0"/>
                </a:rPr>
                <a:t>2&gt;</a:t>
              </a:r>
              <a:r>
                <a:rPr lang="en-US" sz="1400" b="0" i="0">
                  <a:latin typeface="Cambria Math"/>
                  <a:ea typeface="Cambria Math"/>
                </a:rPr>
                <a:t>𝜏┤|</a:t>
              </a:r>
              <a:r>
                <a:rPr lang="en-US" sz="1400" b="0" i="0">
                  <a:latin typeface="Cambria Math" panose="02040503050406030204" pitchFamily="18" charset="0"/>
                  <a:ea typeface="Cambria Math"/>
                </a:rPr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 </a:t>
              </a:r>
              <a:r>
                <a:rPr lang="en-US" sz="1400" b="0" i="0">
                  <a:latin typeface="Cambria Math"/>
                  <a:ea typeface="Cambria Math"/>
                </a:rPr>
                <a:t>𝜏</a:t>
              </a:r>
              <a:r>
                <a:rPr lang="en-US" sz="1400" b="0" i="0">
                  <a:latin typeface="Cambria Math" panose="02040503050406030204" pitchFamily="18" charset="0"/>
                </a:rPr>
                <a:t>&gt;1)=</a:t>
              </a:r>
              <a:r>
                <a:rPr lang="en-US" sz="1400" b="0" i="0">
                  <a:latin typeface="Cambria Math"/>
                </a:rPr>
                <a:t>∫_</a:t>
              </a:r>
              <a:r>
                <a:rPr lang="en-US" sz="1400" b="0" i="0">
                  <a:latin typeface="Cambria Math" panose="02040503050406030204" pitchFamily="18" charset="0"/>
                </a:rPr>
                <a:t>0</a:t>
              </a:r>
              <a:r>
                <a:rPr lang="en-US" sz="1400" b="0" i="0">
                  <a:latin typeface="Cambria Math"/>
                </a:rPr>
                <a:t>^</a:t>
              </a:r>
              <a:r>
                <a:rPr lang="en-US" sz="1400" b="0" i="0">
                  <a:latin typeface="Cambria Math" panose="02040503050406030204" pitchFamily="18" charset="0"/>
                </a:rPr>
                <a:t>1</a:t>
              </a:r>
              <a:r>
                <a:rPr lang="en-US" sz="1400" b="0" i="0">
                  <a:latin typeface="Cambria Math"/>
                </a:rPr>
                <a:t>▒〖</a:t>
              </a:r>
              <a:r>
                <a:rPr lang="en-US" sz="14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𝜆</a:t>
              </a:r>
              <a:r>
                <a:rPr lang="en-US" sz="1400" b="0" i="0">
                  <a:latin typeface="Cambria Math"/>
                  <a:ea typeface="Cambria Math" panose="02040503050406030204" pitchFamily="18" charset="0"/>
                </a:rPr>
                <a:t>_</a:t>
              </a:r>
              <a:r>
                <a:rPr lang="en-US" sz="1400" b="0" i="0">
                  <a:latin typeface="Cambria Math" panose="02040503050406030204" pitchFamily="18" charset="0"/>
                </a:rPr>
                <a:t>𝑓𝑤𝑑  𝑒</a:t>
              </a:r>
              <a:r>
                <a:rPr lang="en-US" sz="1400" b="0" i="0">
                  <a:latin typeface="Cambria Math"/>
                </a:rPr>
                <a:t>^(</a:t>
              </a:r>
              <a:r>
                <a:rPr lang="en-US" sz="1400" b="0" i="0">
                  <a:latin typeface="Cambria Math" panose="02040503050406030204" pitchFamily="18" charset="0"/>
                </a:rPr>
                <a:t>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𝑓𝑤𝑑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𝑢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b="0" i="0">
                  <a:latin typeface="Cambria Math" panose="02040503050406030204" pitchFamily="18" charset="0"/>
                </a:rPr>
                <a:t>𝑑𝑢</a:t>
              </a:r>
              <a:r>
                <a:rPr lang="en-US" sz="1400" b="0" i="0">
                  <a:latin typeface="Cambria Math"/>
                </a:rPr>
                <a:t>〗</a:t>
              </a:r>
              <a:r>
                <a:rPr lang="en-US" sz="1400" b="0" i="0">
                  <a:latin typeface="Cambria Math" panose="02040503050406030204" pitchFamily="18" charset="0"/>
                </a:rPr>
                <a:t>=1−𝑒</a:t>
              </a:r>
              <a:r>
                <a:rPr lang="en-US" sz="1400" b="0" i="0">
                  <a:latin typeface="Cambria Math"/>
                </a:rPr>
                <a:t>^(</a:t>
              </a:r>
              <a:r>
                <a:rPr lang="en-US" sz="1400" b="0" i="0">
                  <a:latin typeface="Cambria Math" panose="02040503050406030204" pitchFamily="18" charset="0"/>
                </a:rPr>
                <a:t>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_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𝑓𝑤𝑑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en-US" sz="1400"/>
                <a:t>  </a:t>
              </a:r>
              <a:r>
                <a:rPr lang="en-US" sz="1400" i="0">
                  <a:latin typeface="Cambria Math"/>
                  <a:ea typeface="Cambria Math"/>
                </a:rPr>
                <a:t>→</a:t>
              </a:r>
              <a:r>
                <a:rPr lang="en-US" sz="1400" b="0" i="0">
                  <a:latin typeface="Cambria Math"/>
                  <a:ea typeface="Cambria Math"/>
                </a:rPr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𝜆_𝑓𝑤𝑑</a:t>
              </a:r>
              <a:r>
                <a:rPr lang="en-US" sz="140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= -ln(1-0.008563)</a:t>
              </a:r>
              <a:endParaRPr lang="en-US" sz="1400">
                <a:effectLst/>
              </a:endParaRPr>
            </a:p>
          </xdr:txBody>
        </xdr:sp>
      </mc:Fallback>
    </mc:AlternateContent>
    <xdr:clientData/>
  </xdr:oneCellAnchor>
  <xdr:oneCellAnchor>
    <xdr:from>
      <xdr:col>0</xdr:col>
      <xdr:colOff>114300</xdr:colOff>
      <xdr:row>22</xdr:row>
      <xdr:rowOff>0</xdr:rowOff>
    </xdr:from>
    <xdr:ext cx="65" cy="172227"/>
    <xdr:sp macro="" textlink="">
      <xdr:nvSpPr>
        <xdr:cNvPr id="7" name="TextBox 6"/>
        <xdr:cNvSpPr txBox="1"/>
      </xdr:nvSpPr>
      <xdr:spPr>
        <a:xfrm>
          <a:off x="114300" y="439293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0</xdr:col>
      <xdr:colOff>28576</xdr:colOff>
      <xdr:row>3</xdr:row>
      <xdr:rowOff>57150</xdr:rowOff>
    </xdr:from>
    <xdr:ext cx="3533774" cy="5619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28576" y="619125"/>
              <a:ext cx="3533774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/>
                <a:t>Denote</a:t>
              </a:r>
              <a:r>
                <a:rPr lang="en-US" sz="1100" baseline="0"/>
                <a:t> the default time by </a:t>
              </a:r>
              <a14:m>
                <m:oMath xmlns:m="http://schemas.openxmlformats.org/officeDocument/2006/math">
                  <m:r>
                    <a:rPr lang="en-US" sz="1100" i="1" baseline="0">
                      <a:latin typeface="Cambria Math"/>
                      <a:ea typeface="Cambria Math"/>
                    </a:rPr>
                    <m:t>𝜏</m:t>
                  </m:r>
                  <m:r>
                    <a:rPr lang="en-US" sz="1100" b="0" i="1" baseline="0">
                      <a:latin typeface="Cambria Math"/>
                      <a:ea typeface="Cambria Math"/>
                    </a:rPr>
                    <m:t>, </m:t>
                  </m:r>
                </m:oMath>
              </a14:m>
              <a:endParaRPr lang="en-US" sz="1100" b="0" baseline="0">
                <a:ea typeface="Cambria Math"/>
              </a:endParaRPr>
            </a:p>
            <a:p>
              <a:r>
                <a:rPr lang="en-US" sz="1100"/>
                <a:t>from the class notes, we know that </a:t>
              </a:r>
              <a14:m>
                <m:oMath xmlns:m="http://schemas.openxmlformats.org/officeDocument/2006/math">
                  <m:r>
                    <a:rPr lang="en-US" sz="1100" b="0" i="1">
                      <a:latin typeface="Cambria Math"/>
                    </a:rPr>
                    <m:t>𝑃</m:t>
                  </m:r>
                  <m:d>
                    <m:dPr>
                      <m:ctrlPr>
                        <a:rPr lang="en-US" sz="1100" b="0" i="1">
                          <a:latin typeface="Cambria Math"/>
                        </a:rPr>
                      </m:ctrlPr>
                    </m:dPr>
                    <m:e>
                      <m:r>
                        <a:rPr lang="en-US" sz="1100" b="0" i="1">
                          <a:latin typeface="Cambria Math"/>
                          <a:ea typeface="Cambria Math"/>
                        </a:rPr>
                        <m:t>𝜏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&gt;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𝑡</m:t>
                      </m:r>
                    </m:e>
                  </m:d>
                  <m:r>
                    <a:rPr lang="en-US" sz="1100" b="0" i="1">
                      <a:latin typeface="Cambria Math"/>
                    </a:rPr>
                    <m:t>=</m:t>
                  </m:r>
                  <m:sSup>
                    <m:sSupPr>
                      <m:ctrlPr>
                        <a:rPr lang="en-US" sz="1100" b="0" i="1">
                          <a:latin typeface="Cambria Math"/>
                        </a:rPr>
                      </m:ctrlPr>
                    </m:sSupPr>
                    <m:e>
                      <m:r>
                        <a:rPr lang="en-US" sz="1100" b="0" i="1">
                          <a:latin typeface="Cambria Math"/>
                        </a:rPr>
                        <m:t>𝑒</m:t>
                      </m:r>
                    </m:e>
                    <m:sup>
                      <m:r>
                        <a:rPr lang="en-US" sz="1100" b="0" i="1">
                          <a:latin typeface="Cambria Math"/>
                        </a:rPr>
                        <m:t>−</m:t>
                      </m:r>
                      <m:sSub>
                        <m:sSubPr>
                          <m:ctrlPr>
                            <a:rPr lang="en-US" sz="1100" b="0" i="1">
                              <a:latin typeface="Cambria Math"/>
                            </a:rPr>
                          </m:ctrlPr>
                        </m:sSubPr>
                        <m:e>
                          <m:r>
                            <a:rPr lang="en-US" sz="1100" b="0" i="1">
                              <a:latin typeface="Cambria Math"/>
                            </a:rPr>
                            <m:t>𝑧</m:t>
                          </m:r>
                        </m:e>
                        <m:sub>
                          <m:r>
                            <a:rPr lang="en-US" sz="1100" b="0" i="1">
                              <a:latin typeface="Cambria Math"/>
                            </a:rPr>
                            <m:t>𝑇</m:t>
                          </m:r>
                        </m:sub>
                      </m:sSub>
                      <m:r>
                        <a:rPr lang="en-US" sz="1100" b="0" i="1">
                          <a:latin typeface="Cambria Math"/>
                          <a:ea typeface="Cambria Math"/>
                        </a:rPr>
                        <m:t>×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𝑇</m:t>
                      </m:r>
                    </m:sup>
                  </m:sSup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28576" y="619125"/>
              <a:ext cx="3533774" cy="5619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r>
                <a:rPr lang="en-US" sz="1100"/>
                <a:t>Denote</a:t>
              </a:r>
              <a:r>
                <a:rPr lang="en-US" sz="1100" baseline="0"/>
                <a:t> the default time by </a:t>
              </a:r>
              <a:r>
                <a:rPr lang="en-US" sz="1100" i="0" baseline="0">
                  <a:latin typeface="Cambria Math"/>
                  <a:ea typeface="Cambria Math"/>
                </a:rPr>
                <a:t>𝜏</a:t>
              </a:r>
              <a:r>
                <a:rPr lang="en-US" sz="1100" b="0" i="0" baseline="0">
                  <a:latin typeface="Cambria Math"/>
                  <a:ea typeface="Cambria Math"/>
                </a:rPr>
                <a:t>, </a:t>
              </a:r>
              <a:endParaRPr lang="en-US" sz="1100" b="0" baseline="0">
                <a:ea typeface="Cambria Math"/>
              </a:endParaRPr>
            </a:p>
            <a:p>
              <a:r>
                <a:rPr lang="en-US" sz="1100"/>
                <a:t>from the class notes, we know that </a:t>
              </a:r>
              <a:r>
                <a:rPr lang="en-US" sz="1100" b="0" i="0">
                  <a:latin typeface="Cambria Math"/>
                </a:rPr>
                <a:t>𝑃(</a:t>
              </a:r>
              <a:r>
                <a:rPr lang="en-US" sz="1100" b="0" i="0">
                  <a:latin typeface="Cambria Math"/>
                  <a:ea typeface="Cambria Math"/>
                </a:rPr>
                <a:t>𝜏&gt;𝑡)</a:t>
              </a:r>
              <a:r>
                <a:rPr lang="en-US" sz="1100" b="0" i="0">
                  <a:latin typeface="Cambria Math"/>
                </a:rPr>
                <a:t>=𝑒^(−𝑧_𝑇</a:t>
              </a:r>
              <a:r>
                <a:rPr lang="en-US" sz="1100" b="0" i="0">
                  <a:latin typeface="Cambria Math"/>
                  <a:ea typeface="Cambria Math"/>
                </a:rPr>
                <a:t>×𝑇)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19050</xdr:colOff>
      <xdr:row>7</xdr:row>
      <xdr:rowOff>76198</xdr:rowOff>
    </xdr:from>
    <xdr:ext cx="3248025" cy="6286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19050" y="1390648"/>
              <a:ext cx="3248025" cy="6286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&gt;2</m:t>
                        </m:r>
                      </m:e>
                    </m:d>
                    <m:r>
                      <a:rPr lang="en-US" sz="1100" b="0" i="1">
                        <a:latin typeface="Cambria Math"/>
                        <a:ea typeface="Cambria Math"/>
                      </a:rPr>
                      <m:t>= 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−0.0068×2</m:t>
                        </m:r>
                      </m:sup>
                    </m:sSup>
                  </m:oMath>
                </m:oMathPara>
              </a14:m>
              <a:endParaRPr lang="en-US" sz="1100" b="0">
                <a:ea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0" i="1">
                        <a:latin typeface="Cambria Math"/>
                      </a:rPr>
                      <m:t>𝑃</m:t>
                    </m:r>
                    <m:d>
                      <m:dPr>
                        <m:ctrlPr>
                          <a:rPr lang="en-US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𝜏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&gt;1</m:t>
                        </m:r>
                      </m:e>
                    </m:d>
                    <m:r>
                      <a:rPr lang="en-US" sz="1100" b="0" i="1">
                        <a:latin typeface="Cambria Math"/>
                      </a:rPr>
                      <m:t>=</m:t>
                    </m:r>
                    <m:sSup>
                      <m:sSupPr>
                        <m:ctrlPr>
                          <a:rPr lang="en-US" sz="1100" b="0" i="1">
                            <a:latin typeface="Cambria Math"/>
                          </a:rPr>
                        </m:ctrlPr>
                      </m:sSupPr>
                      <m:e>
                        <m:r>
                          <a:rPr lang="en-US" sz="1100" b="0" i="1">
                            <a:latin typeface="Cambria Math"/>
                          </a:rPr>
                          <m:t>𝑒</m:t>
                        </m:r>
                      </m:e>
                      <m:sup>
                        <m:r>
                          <a:rPr lang="en-US" sz="1100" b="0" i="1">
                            <a:latin typeface="Cambria Math"/>
                          </a:rPr>
                          <m:t>−0.005</m:t>
                        </m:r>
                        <m:r>
                          <a:rPr lang="en-US" sz="1100" b="0" i="1">
                            <a:latin typeface="Cambria Math"/>
                            <a:ea typeface="Cambria Math"/>
                          </a:rPr>
                          <m:t>×1</m:t>
                        </m:r>
                      </m:sup>
                    </m:sSup>
                  </m:oMath>
                </m:oMathPara>
              </a14:m>
              <a:endParaRPr lang="en-US" sz="1100"/>
            </a:p>
            <a:p>
              <a14:m>
                <m:oMath xmlns:m="http://schemas.openxmlformats.org/officeDocument/2006/math">
                  <m:r>
                    <a:rPr lang="en-US" sz="1100" b="0" i="1">
                      <a:latin typeface="Cambria Math"/>
                    </a:rPr>
                    <m:t>𝑃</m:t>
                  </m:r>
                  <m:d>
                    <m:dPr>
                      <m:ctrlPr>
                        <a:rPr lang="en-US" sz="1100" b="0" i="1">
                          <a:latin typeface="Cambria Math"/>
                        </a:rPr>
                      </m:ctrlPr>
                    </m:dPr>
                    <m:e>
                      <m:r>
                        <a:rPr lang="en-US" sz="1100" b="0" i="1">
                          <a:latin typeface="Cambria Math"/>
                        </a:rPr>
                        <m:t>2&gt;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𝜏</m:t>
                      </m:r>
                      <m:r>
                        <a:rPr lang="en-US" sz="1100" b="0" i="1">
                          <a:latin typeface="Cambria Math"/>
                          <a:ea typeface="Cambria Math"/>
                        </a:rPr>
                        <m:t>&gt;1</m:t>
                      </m:r>
                    </m:e>
                  </m:d>
                  <m:r>
                    <a:rPr lang="en-US" sz="1100" b="0" i="1">
                      <a:latin typeface="Cambria Math"/>
                    </a:rPr>
                    <m:t>=</m:t>
                  </m:r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𝑃</m:t>
                  </m:r>
                  <m:d>
                    <m:d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𝜏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&gt;1</m:t>
                      </m:r>
                    </m:e>
                  </m:d>
                </m:oMath>
              </a14:m>
              <a:r>
                <a:rPr lang="en-US" sz="1100"/>
                <a:t>-</a:t>
              </a:r>
              <a14:m>
                <m:oMath xmlns:m="http://schemas.openxmlformats.org/officeDocument/2006/math">
                  <m:r>
                    <a:rPr lang="en-US" sz="1100" b="0" i="1">
                      <a:solidFill>
                        <a:schemeClr val="tx1"/>
                      </a:solidFill>
                      <a:effectLst/>
                      <a:latin typeface="Cambria Math"/>
                      <a:ea typeface="+mn-ea"/>
                      <a:cs typeface="+mn-cs"/>
                    </a:rPr>
                    <m:t>𝑃</m:t>
                  </m:r>
                  <m:d>
                    <m:dPr>
                      <m:ctrlP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𝜏</m:t>
                      </m:r>
                      <m:r>
                        <a:rPr lang="en-US" sz="1100" b="0" i="1">
                          <a:solidFill>
                            <a:schemeClr val="tx1"/>
                          </a:solidFill>
                          <a:effectLst/>
                          <a:latin typeface="Cambria Math"/>
                          <a:ea typeface="+mn-ea"/>
                          <a:cs typeface="+mn-cs"/>
                        </a:rPr>
                        <m:t>&gt;2</m:t>
                      </m:r>
                    </m:e>
                  </m:d>
                </m:oMath>
              </a14:m>
              <a:endParaRPr lang="en-US" sz="11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19050" y="1390648"/>
              <a:ext cx="3248025" cy="6286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𝑃(</a:t>
              </a:r>
              <a:r>
                <a:rPr lang="en-US" sz="1100" b="0" i="0">
                  <a:latin typeface="Cambria Math"/>
                  <a:ea typeface="Cambria Math"/>
                </a:rPr>
                <a:t>𝜏&gt;2)= 𝑒^(−0.0068×2)</a:t>
              </a:r>
              <a:endParaRPr lang="en-US" sz="1100" b="0">
                <a:ea typeface="Cambria Math"/>
              </a:endParaRPr>
            </a:p>
            <a:p>
              <a:pPr/>
              <a:r>
                <a:rPr lang="en-US" sz="1100" b="0" i="0">
                  <a:latin typeface="Cambria Math"/>
                </a:rPr>
                <a:t>𝑃(</a:t>
              </a:r>
              <a:r>
                <a:rPr lang="en-US" sz="1100" b="0" i="0">
                  <a:latin typeface="Cambria Math"/>
                  <a:ea typeface="Cambria Math"/>
                </a:rPr>
                <a:t>𝜏&gt;1)</a:t>
              </a:r>
              <a:r>
                <a:rPr lang="en-US" sz="1100" b="0" i="0">
                  <a:latin typeface="Cambria Math"/>
                </a:rPr>
                <a:t>=𝑒^(−0.005</a:t>
              </a:r>
              <a:r>
                <a:rPr lang="en-US" sz="1100" b="0" i="0">
                  <a:latin typeface="Cambria Math"/>
                  <a:ea typeface="Cambria Math"/>
                </a:rPr>
                <a:t>×1)</a:t>
              </a:r>
              <a:endParaRPr lang="en-US" sz="1100"/>
            </a:p>
            <a:p>
              <a:pPr/>
              <a:r>
                <a:rPr lang="en-US" sz="1100" b="0" i="0">
                  <a:latin typeface="Cambria Math"/>
                </a:rPr>
                <a:t>𝑃(2&gt;</a:t>
              </a:r>
              <a:r>
                <a:rPr lang="en-US" sz="1100" b="0" i="0">
                  <a:latin typeface="Cambria Math"/>
                  <a:ea typeface="Cambria Math"/>
                </a:rPr>
                <a:t>𝜏&gt;1)</a:t>
              </a:r>
              <a:r>
                <a:rPr lang="en-US" sz="1100" b="0" i="0">
                  <a:latin typeface="Cambria Math"/>
                </a:rPr>
                <a:t>=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𝑃(𝜏&gt;1)</a:t>
              </a:r>
              <a:r>
                <a:rPr lang="en-US" sz="1100"/>
                <a:t>-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𝑃(𝜏&gt;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2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0</xdr:col>
      <xdr:colOff>38101</xdr:colOff>
      <xdr:row>10</xdr:row>
      <xdr:rowOff>152400</xdr:rowOff>
    </xdr:from>
    <xdr:ext cx="1276350" cy="21907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38101" y="2038350"/>
              <a:ext cx="1276350" cy="2190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100" b="0" i="1">
                      <a:latin typeface="Cambria Math"/>
                    </a:rPr>
                    <m:t>𝑃</m:t>
                  </m:r>
                  <m:r>
                    <a:rPr lang="en-US" sz="1100" b="0" i="1">
                      <a:latin typeface="Cambria Math"/>
                    </a:rPr>
                    <m:t>(2&gt;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𝜏</m:t>
                  </m:r>
                  <m:r>
                    <a:rPr lang="en-US" sz="1100" b="0" i="1">
                      <a:latin typeface="Cambria Math"/>
                      <a:ea typeface="Cambria Math"/>
                    </a:rPr>
                    <m:t>&gt;1)</m:t>
                  </m:r>
                </m:oMath>
              </a14:m>
              <a:r>
                <a:rPr lang="en-US" sz="1100"/>
                <a:t>   =</a:t>
              </a:r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38101" y="2038350"/>
              <a:ext cx="1276350" cy="21907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100" b="0" i="0">
                  <a:latin typeface="Cambria Math"/>
                </a:rPr>
                <a:t>𝑃(2&gt;</a:t>
              </a:r>
              <a:r>
                <a:rPr lang="en-US" sz="1100" b="0" i="0">
                  <a:latin typeface="Cambria Math"/>
                  <a:ea typeface="Cambria Math"/>
                </a:rPr>
                <a:t>𝜏&gt;1</a:t>
              </a:r>
              <a:r>
                <a:rPr lang="en-US" sz="1100" b="0" i="0">
                  <a:latin typeface="Cambria Math"/>
                </a:rPr>
                <a:t>)</a:t>
              </a:r>
              <a:r>
                <a:rPr lang="en-US" sz="1100"/>
                <a:t>   =</a:t>
              </a:r>
            </a:p>
          </xdr:txBody>
        </xdr:sp>
      </mc:Fallback>
    </mc:AlternateContent>
    <xdr:clientData/>
  </xdr:oneCellAnchor>
  <xdr:oneCellAnchor>
    <xdr:from>
      <xdr:col>0</xdr:col>
      <xdr:colOff>38100</xdr:colOff>
      <xdr:row>14</xdr:row>
      <xdr:rowOff>57149</xdr:rowOff>
    </xdr:from>
    <xdr:ext cx="2447925" cy="4762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/>
            <xdr:cNvSpPr txBox="1"/>
          </xdr:nvSpPr>
          <xdr:spPr>
            <a:xfrm>
              <a:off x="38100" y="2705099"/>
              <a:ext cx="2447925" cy="4762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en-US" sz="1400" b="0" i="1">
                      <a:latin typeface="Cambria Math"/>
                    </a:rPr>
                    <m:t>𝑃</m:t>
                  </m:r>
                  <m:d>
                    <m:dPr>
                      <m:endChr m:val="|"/>
                      <m:ctrlPr>
                        <a:rPr lang="en-US" sz="1400" b="0" i="1">
                          <a:latin typeface="Cambria Math"/>
                        </a:rPr>
                      </m:ctrlPr>
                    </m:dPr>
                    <m:e>
                      <m:r>
                        <a:rPr lang="en-US" sz="1400" b="0" i="1">
                          <a:latin typeface="Cambria Math"/>
                          <a:ea typeface="Cambria Math"/>
                        </a:rPr>
                        <m:t>𝜏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&lt;2 </m:t>
                      </m:r>
                    </m:e>
                  </m:d>
                  <m:r>
                    <a:rPr lang="en-US" sz="1400" b="0" i="1">
                      <a:latin typeface="Cambria Math"/>
                      <a:ea typeface="Cambria Math"/>
                    </a:rPr>
                    <m:t> </m:t>
                  </m:r>
                  <m:r>
                    <a:rPr lang="en-US" sz="1400" b="0" i="1">
                      <a:latin typeface="Cambria Math"/>
                      <a:ea typeface="Cambria Math"/>
                    </a:rPr>
                    <m:t>𝜏</m:t>
                  </m:r>
                  <m:r>
                    <a:rPr lang="en-US" sz="1400" b="0" i="1">
                      <a:latin typeface="Cambria Math"/>
                      <a:ea typeface="Cambria Math"/>
                    </a:rPr>
                    <m:t>&gt;1)= </m:t>
                  </m:r>
                  <m:f>
                    <m:fPr>
                      <m:ctrlPr>
                        <a:rPr lang="en-US" sz="1400" b="0" i="1">
                          <a:latin typeface="Cambria Math"/>
                        </a:rPr>
                      </m:ctrlPr>
                    </m:fPr>
                    <m:num>
                      <m:r>
                        <a:rPr lang="en-US" sz="1400" b="0" i="1">
                          <a:latin typeface="Cambria Math"/>
                        </a:rPr>
                        <m:t>𝑃</m:t>
                      </m:r>
                      <m:r>
                        <a:rPr lang="en-US" sz="1400" b="0" i="1">
                          <a:latin typeface="Cambria Math"/>
                        </a:rPr>
                        <m:t>(2&gt;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𝜏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&gt;1)</m:t>
                      </m:r>
                    </m:num>
                    <m:den>
                      <m:r>
                        <a:rPr lang="en-US" sz="1400" b="0" i="1">
                          <a:latin typeface="Cambria Math"/>
                        </a:rPr>
                        <m:t>𝑃</m:t>
                      </m:r>
                      <m:r>
                        <a:rPr lang="en-US" sz="1400" b="0" i="1">
                          <a:latin typeface="Cambria Math"/>
                        </a:rPr>
                        <m:t>(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𝜏</m:t>
                      </m:r>
                      <m:r>
                        <a:rPr lang="en-US" sz="1400" b="0" i="1">
                          <a:latin typeface="Cambria Math"/>
                          <a:ea typeface="Cambria Math"/>
                        </a:rPr>
                        <m:t>&gt;1)</m:t>
                      </m:r>
                    </m:den>
                  </m:f>
                </m:oMath>
              </a14:m>
              <a:r>
                <a:rPr lang="en-US" sz="1400"/>
                <a:t> =</a:t>
              </a:r>
            </a:p>
          </xdr:txBody>
        </xdr:sp>
      </mc:Choice>
      <mc:Fallback xmlns="">
        <xdr:sp macro="" textlink="">
          <xdr:nvSpPr>
            <xdr:cNvPr id="5" name="TextBox 4"/>
            <xdr:cNvSpPr txBox="1"/>
          </xdr:nvSpPr>
          <xdr:spPr>
            <a:xfrm>
              <a:off x="38100" y="2705099"/>
              <a:ext cx="2447925" cy="4762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𝑃(</a:t>
              </a:r>
              <a:r>
                <a:rPr lang="en-US" sz="1400" b="0" i="0">
                  <a:latin typeface="Cambria Math"/>
                  <a:ea typeface="Cambria Math"/>
                </a:rPr>
                <a:t>𝜏&lt;2 ┤|  𝜏&gt;1</a:t>
              </a:r>
              <a:r>
                <a:rPr lang="en-US" sz="1400" b="0" i="0">
                  <a:latin typeface="Cambria Math"/>
                </a:rPr>
                <a:t>)=  (𝑃(2&gt;</a:t>
              </a:r>
              <a:r>
                <a:rPr lang="en-US" sz="1400" b="0" i="0">
                  <a:latin typeface="Cambria Math"/>
                  <a:ea typeface="Cambria Math"/>
                </a:rPr>
                <a:t>𝜏&gt;1</a:t>
              </a:r>
              <a:r>
                <a:rPr lang="en-US" sz="1400" b="0" i="0">
                  <a:latin typeface="Cambria Math"/>
                </a:rPr>
                <a:t>))/(𝑃(</a:t>
              </a:r>
              <a:r>
                <a:rPr lang="en-US" sz="1400" b="0" i="0">
                  <a:latin typeface="Cambria Math"/>
                  <a:ea typeface="Cambria Math"/>
                </a:rPr>
                <a:t>𝜏&gt;1</a:t>
              </a:r>
              <a:r>
                <a:rPr lang="en-US" sz="1400" b="0" i="0">
                  <a:latin typeface="Cambria Math"/>
                </a:rPr>
                <a:t>))</a:t>
              </a:r>
              <a:r>
                <a:rPr lang="en-US" sz="1400"/>
                <a:t> =</a:t>
              </a:r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129540</xdr:colOff>
      <xdr:row>35</xdr:row>
      <xdr:rowOff>99060</xdr:rowOff>
    </xdr:from>
    <xdr:ext cx="7595477" cy="3806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129540" y="6515100"/>
              <a:ext cx="7595477" cy="3806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100" i="1">
                            <a:latin typeface="Cambria Math"/>
                          </a:rPr>
                        </m:ctrlPr>
                      </m:sSubPr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𝑟𝑒𝑐𝑜𝑣𝑒𝑟𝑦</m:t>
                        </m:r>
                      </m:sub>
                    </m:sSub>
                    <m:r>
                      <a:rPr lang="en-US" sz="1100" b="0" i="1">
                        <a:latin typeface="Cambria Math" panose="02040503050406030204" pitchFamily="18" charset="0"/>
                      </a:rPr>
                      <m:t>=</m:t>
                    </m:r>
                    <m:nary>
                      <m:naryPr>
                        <m:ctrlPr>
                          <a:rPr lang="en-US" sz="11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  <m: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10</m:t>
                        </m:r>
                      </m:sup>
                      <m:e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𝑅𝑁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𝑟𝑡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𝑃</m:t>
                        </m:r>
                        <m:d>
                          <m:dPr>
                            <m:ctrlPr>
                              <a:rPr lang="en-US" sz="11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𝜏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=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𝑡</m:t>
                            </m:r>
                          </m:e>
                        </m:d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 </m:t>
                        </m:r>
                        <m:nary>
                          <m:naryPr>
                            <m:ctrlPr>
                              <a:rPr lang="en-US" sz="1100" b="0" i="1">
                                <a:latin typeface="Cambria Math"/>
                                <a:ea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10</m:t>
                            </m:r>
                          </m:sup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𝑅</m:t>
                            </m:r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∗100∗ 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−0.05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∗ 0.01 ∗ </m:t>
                            </m:r>
                            <m:sSup>
                              <m:sSupPr>
                                <m:ctrlPr>
                                  <a:rPr lang="en-US" sz="1100" b="0" i="1">
                                    <a:latin typeface="Cambria Math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−0.01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</m:e>
                        </m:nary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𝑑𝑡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nary>
                          <m:naryPr>
                            <m:ctrlPr>
                              <a:rPr lang="en-US" sz="1100" b="0" i="1">
                                <a:latin typeface="Cambria Math"/>
                                <a:ea typeface="Cambria Math" panose="02040503050406030204" pitchFamily="18" charset="0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10</m:t>
                            </m:r>
                          </m:sup>
                          <m:e>
                            <m:sSup>
                              <m:sSupPr>
                                <m:ctrlPr>
                                  <a:rPr lang="en-US" sz="1100" b="0" i="1">
                                    <a:latin typeface="Cambria Math"/>
                                    <a:ea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−0.06</m:t>
                                </m:r>
                                <m:r>
                                  <a:rPr lang="en-US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𝑡</m:t>
                                </m:r>
                              </m:sup>
                            </m:s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𝑑𝑡</m:t>
                            </m:r>
                          </m:e>
                        </m:nary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=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𝑅</m:t>
                        </m:r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</m:t>
                        </m:r>
                        <m:f>
                          <m:fPr>
                            <m:ctrlPr>
                              <a:rPr lang="en-US" sz="1100" b="0" i="1">
                                <a:latin typeface="Cambria Math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−1</m:t>
                            </m:r>
                          </m:num>
                          <m:den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0.06</m:t>
                            </m:r>
                          </m:den>
                        </m:f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∗(</m:t>
                        </m:r>
                        <m:sSup>
                          <m:sSupPr>
                            <m:ctrlPr>
                              <a:rPr lang="en-US" sz="1100" b="0" i="1">
                                <a:latin typeface="Cambria Math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−0.06∗10</m:t>
                            </m:r>
                          </m:sup>
                        </m:sSup>
                        <m:r>
                          <a:rPr lang="en-US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−1)</m:t>
                        </m:r>
                      </m:e>
                    </m:nary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9540" y="6515100"/>
              <a:ext cx="7595477" cy="3806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100" b="0" i="0">
                  <a:latin typeface="Cambria Math" panose="02040503050406030204" pitchFamily="18" charset="0"/>
                </a:rPr>
                <a:t>𝑉_𝑟𝑒𝑐𝑜𝑣𝑒𝑟𝑦=∫24_0^10▒〖𝑅𝑁𝑒^(−𝑟𝑡) 𝑃(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𝜏=𝑡)𝑑𝑡= ∫24_0^10▒〖𝑅∗100∗ 𝑒^(−0.05𝑡)∗ 0.01 ∗ 𝑒^(−0.01𝑡) 〗 𝑑𝑡=𝑅∗∫24_0^10▒〖𝑒^(−0.06𝑡) 𝑑𝑡〗=𝑅∗(−1)/0.06∗(𝑒^(−0.06∗10)−1)〗</a:t>
              </a:r>
              <a:endParaRPr lang="en-US" sz="1100"/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257175</xdr:colOff>
      <xdr:row>9</xdr:row>
      <xdr:rowOff>190499</xdr:rowOff>
    </xdr:from>
    <xdr:ext cx="6953249" cy="5143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/>
            <xdr:cNvSpPr txBox="1"/>
          </xdr:nvSpPr>
          <xdr:spPr>
            <a:xfrm>
              <a:off x="4972050" y="1943099"/>
              <a:ext cx="6953249" cy="5143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𝐴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𝑚</m:t>
                        </m:r>
                        <m:r>
                          <a:rPr lang="en-US" sz="1400" b="0" i="1">
                            <a:latin typeface="Cambria Math"/>
                          </a:rPr>
                          <m:t>,</m:t>
                        </m:r>
                        <m:r>
                          <a:rPr lang="en-US" sz="1400" b="0" i="1">
                            <a:latin typeface="Cambria Math"/>
                          </a:rPr>
                          <m:t>𝑇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∗</m:t>
                        </m:r>
                      </m:sup>
                    </m:sSubSup>
                    <m:r>
                      <a:rPr lang="en-US" sz="1400" b="0" i="1">
                        <a:latin typeface="Cambria Math"/>
                      </a:rPr>
                      <m:t>=</m:t>
                    </m:r>
                    <m:nary>
                      <m:naryPr>
                        <m:chr m:val="∑"/>
                        <m:ctrlPr>
                          <a:rPr lang="en-US" sz="14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latin typeface="Cambria Math"/>
                          </a:rPr>
                          <m:t>𝑖</m:t>
                        </m:r>
                        <m:r>
                          <a:rPr lang="en-US" sz="1400" b="0" i="1">
                            <a:latin typeface="Cambria Math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𝑛</m:t>
                        </m:r>
                      </m:sup>
                      <m:e>
                        <m:f>
                          <m:f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sz="1400" b="0" i="1">
                                <a:latin typeface="Cambria Math"/>
                              </a:rPr>
                              <m:t>1</m:t>
                            </m:r>
                          </m:num>
                          <m:den>
                            <m:r>
                              <a:rPr lang="en-US" sz="14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</a:rPr>
                                  <m:t>𝑖</m:t>
                                </m:r>
                              </m:sub>
                            </m:sSub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𝜏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&gt;</m:t>
                            </m:r>
                            <m:sSub>
                              <m:sSubPr>
                                <m:ctrlP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  <m:t>𝑖</m:t>
                                </m:r>
                              </m:sub>
                            </m:sSub>
                          </m:e>
                        </m:d>
                        <m:r>
                          <a:rPr lang="en-US" sz="1400" b="0" i="1">
                            <a:latin typeface="Cambria Math"/>
                            <a:ea typeface="Cambria Math"/>
                          </a:rPr>
                          <m:t>+</m:t>
                        </m:r>
                        <m:nary>
                          <m:naryPr>
                            <m:chr m:val="∑"/>
                            <m:ctrlPr>
                              <a:rPr lang="en-US" sz="1400" b="0" i="1">
                                <a:latin typeface="Cambria Math"/>
                                <a:ea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𝑖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=1</m:t>
                            </m:r>
                          </m:sub>
                          <m:sup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𝑛</m:t>
                            </m:r>
                          </m:sup>
                          <m:e>
                            <m:nary>
                              <m:naryPr>
                                <m:ctrlP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</m:ctrlPr>
                              </m:naryPr>
                              <m:sub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𝑖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−1</m:t>
                                    </m:r>
                                  </m:sub>
                                </m:sSub>
                              </m:sub>
                              <m:sup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𝑖</m:t>
                                    </m:r>
                                  </m:sub>
                                </m:sSub>
                              </m:sup>
                              <m:e>
                                <m:d>
                                  <m:d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Cambria Math"/>
                                        <a:cs typeface="+mn-cs"/>
                                      </a:rPr>
                                    </m:ctrlPr>
                                  </m:dPr>
                                  <m:e>
                                    <m:sSub>
                                      <m:sSubPr>
                                        <m:ctrlP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𝑡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</m:sub>
                                    </m:s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−</m:t>
                                    </m:r>
                                    <m:sSub>
                                      <m:sSubPr>
                                        <m:ctrlP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𝑡</m:t>
                                        </m:r>
                                      </m:e>
                                      <m:sub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𝑖</m:t>
                                        </m:r>
                                        <m:r>
                                          <a:rPr lang="en-US" sz="14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/>
                                            <a:ea typeface="+mn-ea"/>
                                            <a:cs typeface="+mn-cs"/>
                                          </a:rPr>
                                          <m:t>−1</m:t>
                                        </m:r>
                                      </m:sub>
                                    </m:sSub>
                                  </m:e>
                                </m:d>
                                <m:sSub>
                                  <m:sSubPr>
                                    <m:ctrlP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𝑃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𝑡</m:t>
                                    </m:r>
                                  </m:sub>
                                </m:sSub>
                                <m: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  <m:t>𝑃</m:t>
                                </m:r>
                                <m:d>
                                  <m:dPr>
                                    <m:ctrlP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</m:ctrlPr>
                                  </m:dPr>
                                  <m:e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𝜏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=</m:t>
                                    </m:r>
                                    <m:r>
                                      <a:rPr lang="en-US" sz="1400" b="0" i="1">
                                        <a:latin typeface="Cambria Math"/>
                                        <a:ea typeface="Cambria Math"/>
                                      </a:rPr>
                                      <m:t>𝑡</m:t>
                                    </m:r>
                                  </m:e>
                                </m:d>
                                <m:r>
                                  <a:rPr lang="en-US" sz="1400" b="0" i="1">
                                    <a:latin typeface="Cambria Math"/>
                                    <a:ea typeface="Cambria Math"/>
                                  </a:rPr>
                                  <m:t>𝑑𝑡</m:t>
                                </m:r>
                              </m:e>
                            </m:nary>
                          </m:e>
                        </m:nary>
                      </m:e>
                    </m:nary>
                  </m:oMath>
                </m:oMathPara>
              </a14:m>
              <a:endParaRPr lang="en-US" sz="1400" b="0"/>
            </a:p>
            <a:p>
              <a:r>
                <a:rPr lang="en-US" sz="1400"/>
                <a:t>Assuming</a:t>
              </a:r>
              <a:r>
                <a:rPr lang="en-US" sz="1400" baseline="0"/>
                <a:t> that if default occurs in a particular period, the protection buyer owes the full period's premium and is compensated for credit loss at that time, the  above expression simplies to 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</m:t>
                        </m:r>
                      </m:e>
                      <m:sub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,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</m:sup>
                    </m:sSubSup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Cambria Math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</m:e>
                    </m:nary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</m:t>
                        </m:r>
                      </m:num>
                      <m:den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𝑚</m:t>
                        </m:r>
                      </m:den>
                    </m:f>
                    <m:nary>
                      <m:naryPr>
                        <m:chr m:val="∑"/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sup>
                        </m:sSup>
                      </m:e>
                    </m:nary>
                  </m:oMath>
                </m:oMathPara>
              </a14:m>
              <a:endParaRPr lang="en-US" sz="1400"/>
            </a:p>
            <a:p>
              <a:endParaRPr lang="en-US" sz="1400"/>
            </a:p>
            <a:p>
              <a:r>
                <a:rPr lang="en-US" sz="1400"/>
                <a:t>On the protection leg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400" i="1">
                            <a:latin typeface="Cambria Math"/>
                          </a:rPr>
                        </m:ctrlPr>
                      </m:sSubSupPr>
                      <m:e>
                        <m:r>
                          <a:rPr lang="en-US" sz="1400" b="0" i="1">
                            <a:latin typeface="Cambria Math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latin typeface="Cambria Math"/>
                          </a:rPr>
                          <m:t>𝑇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∗</m:t>
                        </m:r>
                      </m:sup>
                    </m:sSubSup>
                    <m:r>
                      <a:rPr lang="en-US" sz="1400" b="0" i="1">
                        <a:latin typeface="Cambria Math"/>
                      </a:rPr>
                      <m:t>=</m:t>
                    </m:r>
                    <m:d>
                      <m:dPr>
                        <m:ctrlPr>
                          <a:rPr lang="en-US" sz="14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sz="1400" b="0" i="1">
                            <a:latin typeface="Cambria Math"/>
                          </a:rPr>
                          <m:t>1−</m:t>
                        </m:r>
                        <m:r>
                          <a:rPr lang="en-US" sz="1400" b="0" i="1">
                            <a:latin typeface="Cambria Math"/>
                          </a:rPr>
                          <m:t>𝑅</m:t>
                        </m:r>
                      </m:e>
                    </m:d>
                    <m:nary>
                      <m:naryPr>
                        <m:ctrlPr>
                          <a:rPr lang="en-US" sz="1400" b="0" i="1">
                            <a:latin typeface="Cambria Math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latin typeface="Cambria Math"/>
                          </a:rPr>
                          <m:t>0</m:t>
                        </m:r>
                      </m:sub>
                      <m:sup>
                        <m:r>
                          <a:rPr lang="en-US" sz="1400" b="0" i="1">
                            <a:latin typeface="Cambria Math"/>
                          </a:rPr>
                          <m:t>𝑇</m:t>
                        </m:r>
                      </m:sup>
                      <m:e>
                        <m:sSub>
                          <m:sSub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latin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sz="1400" b="0" i="1">
                                <a:latin typeface="Cambria Math"/>
                              </a:rPr>
                              <m:t>𝑡</m:t>
                            </m:r>
                          </m:sub>
                        </m:sSub>
                        <m:r>
                          <a:rPr lang="en-US" sz="1400" b="0" i="1">
                            <a:latin typeface="Cambria Math"/>
                          </a:rPr>
                          <m:t>𝑃</m:t>
                        </m:r>
                        <m:d>
                          <m:dPr>
                            <m:ctrlPr>
                              <a:rPr lang="en-US" sz="1400" b="0" i="1">
                                <a:latin typeface="Cambria Math"/>
                              </a:rPr>
                            </m:ctrlPr>
                          </m:dPr>
                          <m:e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𝜏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=</m:t>
                            </m:r>
                            <m:r>
                              <a:rPr lang="en-US" sz="1400" b="0" i="1">
                                <a:latin typeface="Cambria Math"/>
                                <a:ea typeface="Cambria Math"/>
                              </a:rPr>
                              <m:t>𝑡</m:t>
                            </m:r>
                          </m:e>
                        </m:d>
                        <m:r>
                          <a:rPr lang="en-US" sz="1400" b="0" i="1">
                            <a:latin typeface="Cambria Math"/>
                          </a:rPr>
                          <m:t>𝑑𝑡</m:t>
                        </m:r>
                      </m:e>
                    </m:nary>
                  </m:oMath>
                </m:oMathPara>
              </a14:m>
              <a:endParaRPr lang="en-US" sz="1400" b="0"/>
            </a:p>
            <a:p>
              <a:r>
                <a:rPr lang="en-US" sz="1400"/>
                <a:t>simplifies to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bSup>
                      <m:sSubSupPr>
                        <m:ctrlPr>
                          <a:rPr lang="en-US" sz="140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sSubSupPr>
                      <m:e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𝐿</m:t>
                        </m:r>
                      </m:e>
                      <m:sub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𝑇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∗</m:t>
                        </m:r>
                      </m:sup>
                    </m:sSubSup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</m:t>
                    </m:r>
                    <m:d>
                      <m:dPr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1−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𝑅</m:t>
                        </m:r>
                      </m:e>
                    </m:d>
                    <m:nary>
                      <m:naryPr>
                        <m:chr m:val="∑"/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b>
                          <m:sSub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b>
                        </m:sSub>
                        <m:nary>
                          <m:nary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naryPr>
                          <m:sub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sub>
                          <m:sup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𝑃</m:t>
                            </m:r>
                            <m:d>
                              <m:d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𝜏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=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</m:d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𝑑𝑡</m:t>
                            </m:r>
                          </m:e>
                        </m:nary>
                      </m:e>
                    </m:nary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=(1−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𝑅</m:t>
                    </m:r>
                    <m:r>
                      <a:rPr lang="en-US" sz="14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+mn-ea"/>
                        <a:cs typeface="+mn-cs"/>
                      </a:rPr>
                      <m:t>)</m:t>
                    </m:r>
                    <m:nary>
                      <m:naryPr>
                        <m:chr m:val="∑"/>
                        <m:ctrl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naryPr>
                      <m:sub>
                        <m:r>
                          <m:rPr>
                            <m:brk m:alnAt="23"/>
                          </m:rP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𝑖</m:t>
                        </m:r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=1</m:t>
                        </m:r>
                      </m:sub>
                      <m: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𝑛</m:t>
                        </m:r>
                      </m:sup>
                      <m:e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𝑟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(</m:t>
                        </m:r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−</m:t>
                        </m:r>
                        <m:sSup>
                          <m:sSup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𝑒</m:t>
                            </m:r>
                          </m:e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𝜆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</m:sub>
                            </m:sSub>
                          </m:sup>
                        </m:sSup>
                        <m:r>
                          <a:rPr lang="en-US" sz="14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)</m:t>
                        </m:r>
                      </m:e>
                    </m:nary>
                  </m:oMath>
                </m:oMathPara>
              </a14:m>
              <a:endParaRPr lang="en-US" sz="1800"/>
            </a:p>
            <a:p>
              <a:endParaRPr lang="en-US" sz="1800"/>
            </a:p>
            <a:p>
              <a:r>
                <a:rPr lang="en-US" sz="1800"/>
                <a:t>In summary (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800" i="1">
                          <a:latin typeface="Cambria Math"/>
                        </a:rPr>
                      </m:ctrlPr>
                    </m:sSubPr>
                    <m:e>
                      <m:r>
                        <a:rPr lang="en-US" sz="1800" b="0" i="1">
                          <a:latin typeface="Cambria Math"/>
                        </a:rPr>
                        <m:t>𝑆</m:t>
                      </m:r>
                    </m:e>
                    <m:sub>
                      <m:r>
                        <a:rPr lang="en-US" sz="1800" b="0" i="1">
                          <a:latin typeface="Cambria Math"/>
                        </a:rPr>
                        <m:t>𝑡</m:t>
                      </m:r>
                    </m:sub>
                  </m:sSub>
                </m:oMath>
              </a14:m>
              <a:r>
                <a:rPr lang="en-US" sz="1800"/>
                <a:t> is the survival probability)</a:t>
              </a:r>
            </a:p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2400" i="1">
                            <a:latin typeface="Cambria Math"/>
                          </a:rPr>
                        </m:ctrlPr>
                      </m:sSupPr>
                      <m:e>
                        <m:r>
                          <a:rPr lang="en-US" sz="2400" b="0" i="1">
                            <a:latin typeface="Cambria Math"/>
                          </a:rPr>
                          <m:t>𝑠</m:t>
                        </m:r>
                      </m:e>
                      <m:sup>
                        <m:r>
                          <a:rPr lang="en-US" sz="2400" b="0" i="1">
                            <a:latin typeface="Cambria Math"/>
                          </a:rPr>
                          <m:t>∗</m:t>
                        </m:r>
                      </m:sup>
                    </m:sSup>
                    <m:r>
                      <a:rPr lang="en-US" sz="24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sz="2400" b="0" i="1">
                            <a:latin typeface="Cambria Math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n-US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𝐿</m:t>
                            </m:r>
                          </m:e>
                          <m: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∗</m:t>
                            </m:r>
                          </m:sup>
                        </m:sSubSup>
                      </m:num>
                      <m:den>
                        <m:sSubSup>
                          <m:sSubSupPr>
                            <m:ctrlPr>
                              <a:rPr lang="en-US" sz="140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Sup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𝑚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𝑇</m:t>
                            </m:r>
                          </m:sub>
                          <m:sup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∗</m:t>
                            </m:r>
                          </m:sup>
                        </m:sSubSup>
                      </m:den>
                    </m:f>
                    <m:r>
                      <a:rPr lang="en-US" sz="2400" b="0" i="1">
                        <a:latin typeface="Cambria Math"/>
                      </a:rPr>
                      <m:t>=</m:t>
                    </m:r>
                    <m:r>
                      <a:rPr lang="en-US" sz="2400" b="0" i="1">
                        <a:latin typeface="Cambria Math"/>
                      </a:rPr>
                      <m:t>𝑚</m:t>
                    </m:r>
                    <m:r>
                      <a:rPr lang="en-US" sz="2400" b="0" i="1">
                        <a:latin typeface="Cambria Math"/>
                      </a:rPr>
                      <m:t>(1−</m:t>
                    </m:r>
                    <m:r>
                      <a:rPr lang="en-US" sz="2400" b="0" i="1">
                        <a:latin typeface="Cambria Math"/>
                      </a:rPr>
                      <m:t>𝑅</m:t>
                    </m:r>
                    <m:r>
                      <a:rPr lang="en-US" sz="2400" b="0" i="1">
                        <a:latin typeface="Cambria Math"/>
                      </a:rPr>
                      <m:t>)</m:t>
                    </m:r>
                    <m:f>
                      <m:fPr>
                        <m:ctrlPr>
                          <a:rPr lang="en-US" sz="2400" b="0" i="1">
                            <a:latin typeface="Cambria Math"/>
                          </a:rPr>
                        </m:ctrlPr>
                      </m:fPr>
                      <m:num>
                        <m:nary>
                          <m:naryPr>
                            <m:chr m:val="∑"/>
                            <m:ctrlPr>
                              <a:rPr lang="en-US" sz="2400" b="0" i="1">
                                <a:latin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2400" b="0" i="1">
                                <a:latin typeface="Cambria Math"/>
                              </a:rPr>
                              <m:t>𝑖</m:t>
                            </m:r>
                            <m:r>
                              <a:rPr lang="en-US" sz="2400" b="0" i="1">
                                <a:latin typeface="Cambria Math"/>
                              </a:rPr>
                              <m:t>=1</m:t>
                            </m:r>
                          </m:sub>
                          <m:sup>
                            <m:r>
                              <a:rPr lang="en-US" sz="2400" b="0" i="1">
                                <a:latin typeface="Cambria Math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(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−1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𝑆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)</m:t>
                            </m:r>
                          </m:e>
                        </m:nary>
                      </m:num>
                      <m:den>
                        <m:nary>
                          <m:naryPr>
                            <m:chr m:val="∑"/>
                            <m:ctrlPr>
                              <a:rPr lang="en-US" sz="2400" b="0" i="1">
                                <a:latin typeface="Cambria Math"/>
                              </a:rPr>
                            </m:ctrlPr>
                          </m:naryPr>
                          <m:sub>
                            <m:r>
                              <m:rPr>
                                <m:brk m:alnAt="23"/>
                              </m:rPr>
                              <a:rPr lang="en-US" sz="2400" b="0" i="1">
                                <a:latin typeface="Cambria Math"/>
                              </a:rPr>
                              <m:t>𝑖</m:t>
                            </m:r>
                            <m:r>
                              <a:rPr lang="en-US" sz="2400" b="0" i="1">
                                <a:latin typeface="Cambria Math"/>
                              </a:rPr>
                              <m:t>=1</m:t>
                            </m:r>
                          </m:sub>
                          <m:sup>
                            <m:r>
                              <a:rPr lang="en-US" sz="2400" b="0" i="1">
                                <a:latin typeface="Cambria Math"/>
                              </a:rPr>
                              <m:t>𝑛</m:t>
                            </m:r>
                          </m:sup>
                          <m:e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𝑃</m:t>
                                </m:r>
                              </m:e>
                              <m:sub>
                                <m:sSub>
                                  <m:sSubPr>
                                    <m:ctrlP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𝑡</m:t>
                                    </m:r>
                                  </m:e>
                                  <m:sub>
                                    <m:r>
                                      <a:rPr lang="en-US" sz="14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/>
                                        <a:ea typeface="+mn-ea"/>
                                        <a:cs typeface="+mn-cs"/>
                                      </a:rPr>
                                      <m:t>𝑖</m:t>
                                    </m:r>
                                  </m:sub>
                                </m:sSub>
                              </m:sub>
                            </m:sSub>
                          </m:e>
                        </m:nary>
                        <m:sSub>
                          <m:sSubPr>
                            <m:ctrlP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4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/>
                                <a:ea typeface="+mn-ea"/>
                                <a:cs typeface="+mn-cs"/>
                              </a:rPr>
                              <m:t>𝑆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𝑡</m:t>
                                </m:r>
                              </m:e>
                              <m:sub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𝑖</m:t>
                                </m:r>
                                <m:r>
                                  <a:rPr lang="en-US" sz="14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−1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US" sz="18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4972050" y="1943099"/>
              <a:ext cx="6953249" cy="5143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sz="1400" b="0" i="0">
                  <a:latin typeface="Cambria Math"/>
                </a:rPr>
                <a:t>𝐴_(𝑚,𝑇)^∗=∑24_(𝑖=1)^𝑛▒〖1/𝑚 𝑃_(𝑡_𝑖 ) 𝑃(</a:t>
              </a:r>
              <a:r>
                <a:rPr lang="en-US" sz="1400" b="0" i="0">
                  <a:latin typeface="Cambria Math"/>
                  <a:ea typeface="Cambria Math"/>
                </a:rPr>
                <a:t>𝜏&gt;𝑡_𝑖 )+∑24_(𝑖=1)^𝑛▒∫24_(𝑡_(𝑖−1))^(𝑡_𝑖)▒〖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𝑡_𝑖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𝑡_(𝑖−1)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 ) </a:t>
              </a:r>
              <a:r>
                <a:rPr lang="en-US" sz="1400" b="0" i="0">
                  <a:latin typeface="Cambria Math"/>
                  <a:ea typeface="Cambria Math"/>
                </a:rPr>
                <a:t>𝑃_𝑡 𝑃(𝜏=𝑡)𝑑𝑡〗〗</a:t>
              </a:r>
              <a:endParaRPr lang="en-US" sz="1400" b="0"/>
            </a:p>
            <a:p>
              <a:r>
                <a:rPr lang="en-US" sz="1400"/>
                <a:t>Assuming</a:t>
              </a:r>
              <a:r>
                <a:rPr lang="en-US" sz="1400" baseline="0"/>
                <a:t> that if default occurs in a particular period, the protection buyer owes the full period's premium and is compensated for credit loss at that time, the  above expression simplies to </a:t>
              </a:r>
            </a:p>
            <a:p>
              <a:pPr/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𝐴_(𝑚,𝑇)^∗=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1/𝑚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∑_(𝑖=1)^𝑛▒〖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𝑒^(−𝑟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𝑡_𝑖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 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𝑒^(−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𝑡_𝑖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𝑒^(−𝜆𝑡_(𝑖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+1/𝑚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∑_(𝑖=1)^𝑛▒〖𝑒^(−𝑟𝑡_𝑖 ) 𝑒^(−𝜆𝑡_𝑖 ) 〗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=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1/𝑚 ∑_(𝑖=1)^𝑛▒𝑒^(−𝑟𝑡_𝑖−𝜆𝑡_(𝑖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) </a:t>
              </a:r>
              <a:endParaRPr lang="en-US" sz="1400"/>
            </a:p>
            <a:p>
              <a:pPr/>
              <a:endParaRPr lang="en-US" sz="1400"/>
            </a:p>
            <a:p>
              <a:pPr/>
              <a:r>
                <a:rPr lang="en-US" sz="1400"/>
                <a:t>On the protection leg</a:t>
              </a:r>
            </a:p>
            <a:p>
              <a:pPr/>
              <a:r>
                <a:rPr lang="en-US" sz="1400" b="0" i="0">
                  <a:latin typeface="Cambria Math"/>
                </a:rPr>
                <a:t>𝐿_𝑇^∗=(1−𝑅) ∫24_0^𝑇▒〖𝑃_𝑡 𝑃(</a:t>
              </a:r>
              <a:r>
                <a:rPr lang="en-US" sz="1400" b="0" i="0">
                  <a:latin typeface="Cambria Math"/>
                  <a:ea typeface="Cambria Math"/>
                </a:rPr>
                <a:t>𝜏=𝑡)</a:t>
              </a:r>
              <a:r>
                <a:rPr lang="en-US" sz="1400" b="0" i="0">
                  <a:latin typeface="Cambria Math"/>
                </a:rPr>
                <a:t>𝑑𝑡〗</a:t>
              </a:r>
              <a:endParaRPr lang="en-US" sz="1400" b="0"/>
            </a:p>
            <a:p>
              <a:pPr/>
              <a:r>
                <a:rPr lang="en-US" sz="1400"/>
                <a:t>simplifies to</a:t>
              </a:r>
            </a:p>
            <a:p>
              <a:pPr/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𝐿_𝑇^∗=(1−𝑅)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∑24_(𝑖=1)^𝑛▒〖𝑃_(𝑡_𝑖 ) ∫24_(𝑡_(𝑖−1))^(𝑡_𝑖)▒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𝑃(𝜏=𝑡)𝑑𝑡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〗=(1−𝑅)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∑_(𝑖=1)^𝑛▒〖𝑒^(−𝑟𝑡_𝑖 ) (𝑒^(−𝜆𝑡_(𝑖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)−𝑒^(−𝜆𝑡_𝑖 ))〗</a:t>
              </a:r>
              <a:endParaRPr lang="en-US" sz="1800"/>
            </a:p>
            <a:p>
              <a:pPr/>
              <a:endParaRPr lang="en-US" sz="1800"/>
            </a:p>
            <a:p>
              <a:pPr/>
              <a:r>
                <a:rPr lang="en-US" sz="1800"/>
                <a:t>In summary (</a:t>
              </a:r>
              <a:r>
                <a:rPr lang="en-US" sz="1800" b="0" i="0">
                  <a:latin typeface="Cambria Math"/>
                </a:rPr>
                <a:t>𝑆_𝑡</a:t>
              </a:r>
              <a:r>
                <a:rPr lang="en-US" sz="1800"/>
                <a:t> is the survival probability)</a:t>
              </a:r>
            </a:p>
            <a:p>
              <a:pPr/>
              <a:r>
                <a:rPr lang="en-US" sz="2400" b="0" i="0">
                  <a:latin typeface="Cambria Math"/>
                </a:rPr>
                <a:t>𝑠^∗=(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𝐿_𝑇^∗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)/(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𝐴_(𝑚,𝑇)^∗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r>
                <a:rPr lang="en-US" sz="2400" b="0" i="0">
                  <a:latin typeface="Cambria Math"/>
                </a:rPr>
                <a:t>=𝑚(1−𝑅)(∑24_(𝑖=1)^𝑛▒〖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𝑃_(𝑡_𝑖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(𝑆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_(𝑡_(𝑖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_(𝑡_𝑖 )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〗)/(∑24_(</a:t>
              </a:r>
              <a:r>
                <a:rPr lang="en-US" sz="2400" b="0" i="0">
                  <a:latin typeface="Cambria Math"/>
                </a:rPr>
                <a:t>𝑖=1)^𝑛▒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𝑃_(𝑡_𝑖 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𝑆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_(𝑡_(𝑖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−1</a:t>
              </a:r>
              <a:r>
                <a:rPr lang="en-US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)</a:t>
              </a:r>
              <a:r>
                <a:rPr lang="en-US" sz="24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 )</a:t>
              </a:r>
              <a:endParaRPr lang="en-US" sz="18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47"/>
  <sheetViews>
    <sheetView tabSelected="1" workbookViewId="0">
      <selection activeCell="D48" sqref="D48"/>
    </sheetView>
  </sheetViews>
  <sheetFormatPr defaultRowHeight="15" x14ac:dyDescent="0.25"/>
  <cols>
    <col min="1" max="1" width="18.28515625" customWidth="1"/>
    <col min="2" max="2" width="18.85546875" customWidth="1"/>
    <col min="3" max="3" width="11.140625" customWidth="1"/>
    <col min="4" max="4" width="30.5703125" bestFit="1" customWidth="1"/>
  </cols>
  <sheetData>
    <row r="1" spans="1:2" ht="14.45" x14ac:dyDescent="0.3">
      <c r="A1" s="2" t="s">
        <v>0</v>
      </c>
    </row>
    <row r="3" spans="1:2" ht="15.75" thickBot="1" x14ac:dyDescent="0.3">
      <c r="A3" s="50" t="s">
        <v>1</v>
      </c>
      <c r="B3" s="50"/>
    </row>
    <row r="4" spans="1:2" ht="16.5" thickTop="1" thickBot="1" x14ac:dyDescent="0.3">
      <c r="A4" s="16" t="s">
        <v>5</v>
      </c>
      <c r="B4" s="16" t="s">
        <v>2</v>
      </c>
    </row>
    <row r="5" spans="1:2" x14ac:dyDescent="0.25">
      <c r="A5" s="14">
        <v>1</v>
      </c>
      <c r="B5" s="14">
        <v>0.03</v>
      </c>
    </row>
    <row r="6" spans="1:2" x14ac:dyDescent="0.25">
      <c r="A6" s="14">
        <v>2</v>
      </c>
      <c r="B6" s="14">
        <v>3.5000000000000003E-2</v>
      </c>
    </row>
    <row r="8" spans="1:2" ht="15.75" thickBot="1" x14ac:dyDescent="0.3">
      <c r="A8" s="18" t="s">
        <v>3</v>
      </c>
    </row>
    <row r="9" spans="1:2" ht="15.75" thickBot="1" x14ac:dyDescent="0.3">
      <c r="A9" s="13" t="s">
        <v>4</v>
      </c>
      <c r="B9" s="14">
        <v>0.05</v>
      </c>
    </row>
    <row r="10" spans="1:2" ht="15.75" thickBot="1" x14ac:dyDescent="0.3">
      <c r="A10" s="13" t="s">
        <v>5</v>
      </c>
      <c r="B10" s="14">
        <v>1</v>
      </c>
    </row>
    <row r="11" spans="1:2" ht="15.75" thickBot="1" x14ac:dyDescent="0.3">
      <c r="A11" s="13" t="s">
        <v>6</v>
      </c>
      <c r="B11" s="14">
        <v>101.25</v>
      </c>
    </row>
    <row r="16" spans="1:2" ht="15.75" thickBot="1" x14ac:dyDescent="0.3">
      <c r="A16" s="13" t="s">
        <v>87</v>
      </c>
      <c r="B16" s="19">
        <f>-0.03-LN(101.25/105)</f>
        <v>6.3676441708748338E-3</v>
      </c>
    </row>
    <row r="19" spans="1:8" x14ac:dyDescent="0.25">
      <c r="A19" s="2" t="s">
        <v>9</v>
      </c>
    </row>
    <row r="20" spans="1:8" ht="15.75" thickBot="1" x14ac:dyDescent="0.3">
      <c r="A20" s="13" t="s">
        <v>15</v>
      </c>
      <c r="B20" s="14">
        <v>102</v>
      </c>
    </row>
    <row r="21" spans="1:8" ht="15.75" thickBot="1" x14ac:dyDescent="0.3">
      <c r="A21" s="13" t="s">
        <v>12</v>
      </c>
      <c r="B21" s="19">
        <v>3.7692609352437912E-3</v>
      </c>
      <c r="C21" t="s">
        <v>16</v>
      </c>
    </row>
    <row r="23" spans="1:8" ht="15.75" thickBot="1" x14ac:dyDescent="0.3">
      <c r="A23" s="13" t="s">
        <v>10</v>
      </c>
    </row>
    <row r="24" spans="1:8" ht="15.75" thickBot="1" x14ac:dyDescent="0.3">
      <c r="A24" s="13" t="s">
        <v>7</v>
      </c>
      <c r="B24" s="13" t="s">
        <v>8</v>
      </c>
      <c r="C24" s="13" t="s">
        <v>11</v>
      </c>
      <c r="D24" s="13" t="s">
        <v>13</v>
      </c>
      <c r="E24" s="13" t="s">
        <v>24</v>
      </c>
    </row>
    <row r="25" spans="1:8" x14ac:dyDescent="0.25">
      <c r="A25" s="14">
        <v>1</v>
      </c>
      <c r="B25" s="14">
        <v>5</v>
      </c>
      <c r="C25" s="14">
        <v>0.03</v>
      </c>
      <c r="D25" s="19">
        <f>C25+B21</f>
        <v>3.3769260935243788E-2</v>
      </c>
      <c r="E25" s="19">
        <f>B25*EXP(-1*D25)</f>
        <v>4.8339727808743431</v>
      </c>
    </row>
    <row r="26" spans="1:8" x14ac:dyDescent="0.25">
      <c r="A26" s="14">
        <v>2</v>
      </c>
      <c r="B26" s="14">
        <v>105</v>
      </c>
      <c r="C26" s="14">
        <v>3.5000000000000003E-2</v>
      </c>
      <c r="D26" s="19">
        <f>C26+B21</f>
        <v>3.8769260935243792E-2</v>
      </c>
      <c r="E26" s="19">
        <f>B26*EXP(-2*D26)</f>
        <v>97.166094469844936</v>
      </c>
    </row>
    <row r="27" spans="1:8" ht="15.75" thickBot="1" x14ac:dyDescent="0.3">
      <c r="D27" s="13" t="s">
        <v>6</v>
      </c>
      <c r="E27" s="19">
        <f>E26+E25</f>
        <v>102.00006725071928</v>
      </c>
    </row>
    <row r="29" spans="1:8" x14ac:dyDescent="0.25">
      <c r="A29" s="2" t="s">
        <v>88</v>
      </c>
    </row>
    <row r="30" spans="1:8" x14ac:dyDescent="0.25">
      <c r="A30" s="20" t="s">
        <v>18</v>
      </c>
      <c r="B30" s="20"/>
      <c r="C30" s="20"/>
      <c r="D30" s="20"/>
      <c r="E30" s="20"/>
      <c r="F30" s="20"/>
      <c r="G30" s="20"/>
      <c r="H30" s="20"/>
    </row>
    <row r="32" spans="1:8" x14ac:dyDescent="0.25">
      <c r="A32" s="20" t="s">
        <v>19</v>
      </c>
      <c r="B32" s="20"/>
      <c r="C32" s="20"/>
    </row>
    <row r="33" spans="1:5" ht="22.5" customHeight="1" x14ac:dyDescent="0.25">
      <c r="A33" s="51"/>
      <c r="B33" s="51"/>
      <c r="C33" s="51"/>
      <c r="D33" s="51"/>
    </row>
    <row r="34" spans="1:5" ht="15.75" thickBot="1" x14ac:dyDescent="0.3">
      <c r="A34" s="13" t="s">
        <v>20</v>
      </c>
      <c r="B34" s="19">
        <f>-0.03-LN(98.75/102)</f>
        <v>2.381409503039833E-3</v>
      </c>
    </row>
    <row r="36" spans="1:5" x14ac:dyDescent="0.25">
      <c r="A36" s="20" t="s">
        <v>21</v>
      </c>
      <c r="B36" s="20"/>
      <c r="C36" s="20"/>
      <c r="D36" s="20"/>
    </row>
    <row r="37" spans="1:5" ht="15.75" thickBot="1" x14ac:dyDescent="0.3">
      <c r="A37" s="13" t="s">
        <v>38</v>
      </c>
      <c r="B37" s="13" t="s">
        <v>89</v>
      </c>
      <c r="C37" s="13" t="s">
        <v>11</v>
      </c>
      <c r="D37" s="13" t="s">
        <v>22</v>
      </c>
      <c r="E37" s="13" t="s">
        <v>14</v>
      </c>
    </row>
    <row r="38" spans="1:5" x14ac:dyDescent="0.25">
      <c r="A38" s="14">
        <v>1</v>
      </c>
      <c r="B38" s="14">
        <v>5</v>
      </c>
      <c r="C38" s="14">
        <v>0.03</v>
      </c>
      <c r="D38" s="19">
        <f>C38+B34</f>
        <v>3.2381409503039832E-2</v>
      </c>
      <c r="E38" s="19">
        <f>B38*EXP(-1*D38)</f>
        <v>4.840686274509804</v>
      </c>
    </row>
    <row r="39" spans="1:5" x14ac:dyDescent="0.25">
      <c r="A39" s="14">
        <v>2</v>
      </c>
      <c r="B39" s="14">
        <v>105</v>
      </c>
      <c r="C39" s="14">
        <v>3.5000000000000003E-2</v>
      </c>
      <c r="D39" s="19"/>
      <c r="E39" s="19">
        <f>102-E38</f>
        <v>97.159313725490193</v>
      </c>
    </row>
    <row r="40" spans="1:5" x14ac:dyDescent="0.25">
      <c r="A40" t="s">
        <v>23</v>
      </c>
    </row>
    <row r="41" spans="1:5" x14ac:dyDescent="0.25">
      <c r="A41" t="s">
        <v>90</v>
      </c>
    </row>
    <row r="42" spans="1:5" ht="15.75" thickBot="1" x14ac:dyDescent="0.3">
      <c r="A42" s="13" t="s">
        <v>25</v>
      </c>
      <c r="B42" s="19">
        <f>LN(E39/B39)*(-1/2)-C39</f>
        <v>3.8041546962834169E-3</v>
      </c>
    </row>
    <row r="44" spans="1:5" x14ac:dyDescent="0.25">
      <c r="A44" s="20" t="s">
        <v>26</v>
      </c>
      <c r="B44" s="20"/>
      <c r="C44" s="20"/>
      <c r="D44" s="20"/>
    </row>
    <row r="45" spans="1:5" ht="15.75" thickBot="1" x14ac:dyDescent="0.3">
      <c r="A45" s="13" t="s">
        <v>7</v>
      </c>
      <c r="B45" s="13" t="s">
        <v>27</v>
      </c>
    </row>
    <row r="46" spans="1:5" x14ac:dyDescent="0.25">
      <c r="A46" s="14">
        <v>1</v>
      </c>
      <c r="B46" s="19">
        <f>B34</f>
        <v>2.381409503039833E-3</v>
      </c>
    </row>
    <row r="47" spans="1:5" x14ac:dyDescent="0.25">
      <c r="A47" s="14">
        <v>2</v>
      </c>
      <c r="B47" s="19">
        <f>B42</f>
        <v>3.8041546962834169E-3</v>
      </c>
    </row>
  </sheetData>
  <mergeCells count="2">
    <mergeCell ref="A3:B3"/>
    <mergeCell ref="A33:D33"/>
  </mergeCells>
  <pageMargins left="0.7" right="0.7" top="0.75" bottom="0.75" header="0.3" footer="0.3"/>
  <pageSetup orientation="portrait" horizontalDpi="0" verticalDpi="0" r:id="rId1"/>
  <drawing r:id="rId2"/>
  <legacyDrawing r:id="rId3"/>
  <oleObjects>
    <mc:AlternateContent xmlns:mc="http://schemas.openxmlformats.org/markup-compatibility/2006">
      <mc:Choice Requires="x14">
        <oleObject progId="Equation.3" shapeId="3074" r:id="rId4">
          <objectPr defaultSize="0" autoPict="0" r:id="rId5">
            <anchor moveWithCells="1">
              <from>
                <xdr:col>0</xdr:col>
                <xdr:colOff>28575</xdr:colOff>
                <xdr:row>12</xdr:row>
                <xdr:rowOff>104775</xdr:rowOff>
              </from>
              <to>
                <xdr:col>5</xdr:col>
                <xdr:colOff>76200</xdr:colOff>
                <xdr:row>14</xdr:row>
                <xdr:rowOff>171450</xdr:rowOff>
              </to>
            </anchor>
          </objectPr>
        </oleObject>
      </mc:Choice>
      <mc:Fallback>
        <oleObject progId="Equation.3" shapeId="3074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3"/>
  <sheetViews>
    <sheetView workbookViewId="0">
      <selection activeCell="E25" sqref="E25"/>
    </sheetView>
  </sheetViews>
  <sheetFormatPr defaultRowHeight="15" x14ac:dyDescent="0.25"/>
  <cols>
    <col min="1" max="1" width="20.140625" customWidth="1"/>
    <col min="4" max="4" width="11" customWidth="1"/>
  </cols>
  <sheetData>
    <row r="1" spans="1:12" x14ac:dyDescent="0.25">
      <c r="A1" s="2" t="s">
        <v>28</v>
      </c>
    </row>
    <row r="3" spans="1:12" x14ac:dyDescent="0.25">
      <c r="A3" s="2" t="s">
        <v>29</v>
      </c>
    </row>
    <row r="4" spans="1:12" x14ac:dyDescent="0.25">
      <c r="A4" s="51"/>
      <c r="B4" s="51"/>
      <c r="C4" s="51"/>
      <c r="D4" s="51"/>
      <c r="E4" s="51"/>
    </row>
    <row r="5" spans="1:12" ht="14.45" customHeight="1" x14ac:dyDescent="0.25">
      <c r="A5" s="51"/>
      <c r="B5" s="51"/>
      <c r="C5" s="51"/>
      <c r="D5" s="51"/>
      <c r="E5" s="51"/>
    </row>
    <row r="6" spans="1:12" ht="14.45" customHeight="1" x14ac:dyDescent="0.25">
      <c r="A6" s="51"/>
      <c r="B6" s="51"/>
      <c r="C6" s="51"/>
      <c r="D6" s="51"/>
      <c r="E6" s="51"/>
    </row>
    <row r="7" spans="1:12" x14ac:dyDescent="0.25">
      <c r="A7" t="s">
        <v>30</v>
      </c>
    </row>
    <row r="8" spans="1:12" x14ac:dyDescent="0.25">
      <c r="A8" s="51"/>
      <c r="B8" s="51"/>
      <c r="C8" s="51"/>
      <c r="D8" s="51"/>
      <c r="E8" s="51"/>
    </row>
    <row r="9" spans="1:12" x14ac:dyDescent="0.25">
      <c r="A9" s="51"/>
      <c r="B9" s="51"/>
      <c r="C9" s="51"/>
      <c r="D9" s="51"/>
      <c r="E9" s="51"/>
    </row>
    <row r="10" spans="1:12" x14ac:dyDescent="0.25">
      <c r="A10" s="51"/>
      <c r="B10" s="51"/>
      <c r="C10" s="51"/>
      <c r="D10" s="51"/>
      <c r="E10" s="51"/>
    </row>
    <row r="11" spans="1:12" x14ac:dyDescent="0.25">
      <c r="A11" s="51"/>
      <c r="B11" s="51"/>
      <c r="C11" s="51"/>
      <c r="D11" s="51"/>
      <c r="E11" s="51"/>
    </row>
    <row r="12" spans="1:12" x14ac:dyDescent="0.25">
      <c r="B12" s="19">
        <f>EXP(-0.005*1)-EXP(-0.0068*2)</f>
        <v>8.5204170137923585E-3</v>
      </c>
      <c r="C12" s="53" t="s">
        <v>91</v>
      </c>
      <c r="D12" s="53"/>
      <c r="E12" s="53"/>
      <c r="F12" s="53"/>
      <c r="G12" s="53"/>
      <c r="H12" s="53"/>
    </row>
    <row r="14" spans="1:12" x14ac:dyDescent="0.25">
      <c r="A14" s="2" t="s">
        <v>31</v>
      </c>
    </row>
    <row r="15" spans="1:12" x14ac:dyDescent="0.25">
      <c r="A15" s="52"/>
      <c r="B15" s="52"/>
      <c r="C15" s="52"/>
    </row>
    <row r="16" spans="1:12" x14ac:dyDescent="0.25">
      <c r="A16" s="52"/>
      <c r="B16" s="52"/>
      <c r="C16" s="52"/>
      <c r="D16" s="19">
        <f>B12/EXP(-0.005*1)</f>
        <v>8.5631257818047889E-3</v>
      </c>
      <c r="E16" s="53" t="s">
        <v>92</v>
      </c>
      <c r="F16" s="53"/>
      <c r="G16" s="53"/>
      <c r="H16" s="53"/>
      <c r="I16" s="53"/>
      <c r="J16" s="53"/>
      <c r="K16" s="53"/>
      <c r="L16" s="53"/>
    </row>
    <row r="17" spans="1:7" x14ac:dyDescent="0.25">
      <c r="A17" s="52"/>
      <c r="B17" s="52"/>
      <c r="C17" s="52"/>
    </row>
    <row r="19" spans="1:7" x14ac:dyDescent="0.25">
      <c r="A19" s="2" t="s">
        <v>17</v>
      </c>
    </row>
    <row r="21" spans="1:7" x14ac:dyDescent="0.25">
      <c r="A21" s="51"/>
      <c r="B21" s="51"/>
      <c r="C21" s="51"/>
      <c r="D21" s="51"/>
      <c r="E21" s="51"/>
      <c r="F21" s="51"/>
      <c r="G21" s="51"/>
    </row>
    <row r="22" spans="1:7" x14ac:dyDescent="0.25">
      <c r="A22" s="51"/>
      <c r="B22" s="51"/>
      <c r="C22" s="51"/>
      <c r="D22" s="51"/>
      <c r="E22" s="51"/>
      <c r="F22" s="51"/>
      <c r="G22" s="51"/>
    </row>
    <row r="23" spans="1:7" ht="15.75" thickBot="1" x14ac:dyDescent="0.3">
      <c r="A23" s="13" t="s">
        <v>33</v>
      </c>
      <c r="B23" s="19">
        <f>-LN(1-D16)</f>
        <v>8.6000000000000087E-3</v>
      </c>
    </row>
  </sheetData>
  <mergeCells count="6">
    <mergeCell ref="A21:G22"/>
    <mergeCell ref="A4:E6"/>
    <mergeCell ref="A8:E11"/>
    <mergeCell ref="A15:C17"/>
    <mergeCell ref="C12:H12"/>
    <mergeCell ref="E16:L16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1"/>
  <sheetViews>
    <sheetView zoomScaleNormal="100" workbookViewId="0">
      <selection activeCell="A100" sqref="A100:C100"/>
    </sheetView>
  </sheetViews>
  <sheetFormatPr defaultRowHeight="15" x14ac:dyDescent="0.25"/>
  <cols>
    <col min="1" max="1" width="21.5703125" customWidth="1"/>
    <col min="2" max="2" width="23.7109375" customWidth="1"/>
    <col min="3" max="3" width="20.42578125" customWidth="1"/>
    <col min="4" max="4" width="15.85546875" customWidth="1"/>
    <col min="5" max="5" width="37.140625" customWidth="1"/>
  </cols>
  <sheetData>
    <row r="1" spans="1:5" x14ac:dyDescent="0.25">
      <c r="A1" s="2" t="s">
        <v>34</v>
      </c>
    </row>
    <row r="3" spans="1:5" ht="14.45" x14ac:dyDescent="0.3">
      <c r="A3" s="2" t="s">
        <v>29</v>
      </c>
    </row>
    <row r="4" spans="1:5" x14ac:dyDescent="0.25">
      <c r="A4" s="20" t="s">
        <v>36</v>
      </c>
    </row>
    <row r="5" spans="1:5" ht="15.75" thickBot="1" x14ac:dyDescent="0.3">
      <c r="A5" s="13" t="s">
        <v>35</v>
      </c>
      <c r="B5" s="19">
        <f>100 * EXP(-0.05*10) *EXP(-0.01*10)</f>
        <v>54.881163609402641</v>
      </c>
    </row>
    <row r="6" spans="1:5" x14ac:dyDescent="0.25">
      <c r="A6" t="s">
        <v>37</v>
      </c>
    </row>
    <row r="7" spans="1:5" ht="15.75" thickBot="1" x14ac:dyDescent="0.3">
      <c r="A7" s="13" t="s">
        <v>38</v>
      </c>
      <c r="B7" s="13" t="s">
        <v>39</v>
      </c>
      <c r="C7" s="13" t="s">
        <v>40</v>
      </c>
      <c r="D7" s="13" t="s">
        <v>41</v>
      </c>
      <c r="E7" s="13" t="s">
        <v>42</v>
      </c>
    </row>
    <row r="8" spans="1:5" x14ac:dyDescent="0.25">
      <c r="A8">
        <v>0.5</v>
      </c>
      <c r="B8">
        <f>100*0.04/2</f>
        <v>2</v>
      </c>
      <c r="C8">
        <f>EXP(-A8*0.05)</f>
        <v>0.97530991202833262</v>
      </c>
      <c r="D8">
        <f>EXP(-0.01*A8)</f>
        <v>0.99501247919268232</v>
      </c>
      <c r="E8">
        <f>B8*C8*D8</f>
        <v>1.9408910670970163</v>
      </c>
    </row>
    <row r="9" spans="1:5" x14ac:dyDescent="0.25">
      <c r="A9">
        <f>A8+0.5</f>
        <v>1</v>
      </c>
      <c r="B9">
        <f t="shared" ref="B9:B27" si="0">100*0.04/2</f>
        <v>2</v>
      </c>
      <c r="C9">
        <f t="shared" ref="C9:C27" si="1">EXP(-A9*0.05)</f>
        <v>0.95122942450071402</v>
      </c>
      <c r="D9">
        <f t="shared" ref="D9:D27" si="2">EXP(-0.01*A9)</f>
        <v>0.99004983374916811</v>
      </c>
      <c r="E9">
        <f t="shared" ref="E9:E27" si="3">B9*C9*D9</f>
        <v>1.8835290671684974</v>
      </c>
    </row>
    <row r="10" spans="1:5" x14ac:dyDescent="0.25">
      <c r="A10">
        <f t="shared" ref="A10:A27" si="4">A9+0.5</f>
        <v>1.5</v>
      </c>
      <c r="B10">
        <f t="shared" si="0"/>
        <v>2</v>
      </c>
      <c r="C10">
        <f t="shared" si="1"/>
        <v>0.92774348632855286</v>
      </c>
      <c r="D10">
        <f t="shared" si="2"/>
        <v>0.98511193960306265</v>
      </c>
      <c r="E10">
        <f t="shared" si="3"/>
        <v>1.8278623705424564</v>
      </c>
    </row>
    <row r="11" spans="1:5" x14ac:dyDescent="0.25">
      <c r="A11">
        <f t="shared" si="4"/>
        <v>2</v>
      </c>
      <c r="B11">
        <f t="shared" si="0"/>
        <v>2</v>
      </c>
      <c r="C11">
        <f t="shared" si="1"/>
        <v>0.90483741803595952</v>
      </c>
      <c r="D11">
        <f t="shared" si="2"/>
        <v>0.98019867330675525</v>
      </c>
      <c r="E11">
        <f t="shared" si="3"/>
        <v>1.7738408734343147</v>
      </c>
    </row>
    <row r="12" spans="1:5" x14ac:dyDescent="0.25">
      <c r="A12">
        <f t="shared" si="4"/>
        <v>2.5</v>
      </c>
      <c r="B12">
        <f t="shared" si="0"/>
        <v>2</v>
      </c>
      <c r="C12">
        <f t="shared" si="1"/>
        <v>0.88249690258459546</v>
      </c>
      <c r="D12">
        <f t="shared" si="2"/>
        <v>0.97530991202833262</v>
      </c>
      <c r="E12">
        <f t="shared" si="3"/>
        <v>1.7214159528501156</v>
      </c>
    </row>
    <row r="13" spans="1:5" x14ac:dyDescent="0.25">
      <c r="A13">
        <f t="shared" si="4"/>
        <v>3</v>
      </c>
      <c r="B13">
        <f t="shared" si="0"/>
        <v>2</v>
      </c>
      <c r="C13">
        <f t="shared" si="1"/>
        <v>0.86070797642505781</v>
      </c>
      <c r="D13">
        <f t="shared" si="2"/>
        <v>0.97044553354850815</v>
      </c>
      <c r="E13">
        <f t="shared" si="3"/>
        <v>1.670540422822544</v>
      </c>
    </row>
    <row r="14" spans="1:5" x14ac:dyDescent="0.25">
      <c r="A14">
        <f t="shared" si="4"/>
        <v>3.5</v>
      </c>
      <c r="B14">
        <f t="shared" si="0"/>
        <v>2</v>
      </c>
      <c r="C14">
        <f t="shared" si="1"/>
        <v>0.83945702076920736</v>
      </c>
      <c r="D14">
        <f t="shared" si="2"/>
        <v>0.96560541625756646</v>
      </c>
      <c r="E14">
        <f t="shared" si="3"/>
        <v>1.6211684919403742</v>
      </c>
    </row>
    <row r="15" spans="1:5" x14ac:dyDescent="0.25">
      <c r="A15">
        <f t="shared" si="4"/>
        <v>4</v>
      </c>
      <c r="B15">
        <f t="shared" si="0"/>
        <v>2</v>
      </c>
      <c r="C15">
        <f t="shared" si="1"/>
        <v>0.81873075307798182</v>
      </c>
      <c r="D15">
        <f t="shared" si="2"/>
        <v>0.96078943915232318</v>
      </c>
      <c r="E15">
        <f t="shared" si="3"/>
        <v>1.5732557221331067</v>
      </c>
    </row>
    <row r="16" spans="1:5" x14ac:dyDescent="0.25">
      <c r="A16">
        <f t="shared" si="4"/>
        <v>4.5</v>
      </c>
      <c r="B16">
        <f t="shared" si="0"/>
        <v>2</v>
      </c>
      <c r="C16">
        <f t="shared" si="1"/>
        <v>0.79851621875937706</v>
      </c>
      <c r="D16">
        <f t="shared" si="2"/>
        <v>0.95599748183309996</v>
      </c>
      <c r="E16">
        <f t="shared" si="3"/>
        <v>1.5267589886737065</v>
      </c>
    </row>
    <row r="17" spans="1:5" x14ac:dyDescent="0.25">
      <c r="A17">
        <f t="shared" si="4"/>
        <v>5</v>
      </c>
      <c r="B17">
        <f t="shared" si="0"/>
        <v>2</v>
      </c>
      <c r="C17">
        <f t="shared" si="1"/>
        <v>0.77880078307140488</v>
      </c>
      <c r="D17">
        <f t="shared" si="2"/>
        <v>0.95122942450071402</v>
      </c>
      <c r="E17">
        <f t="shared" si="3"/>
        <v>1.4816364413634358</v>
      </c>
    </row>
    <row r="18" spans="1:5" x14ac:dyDescent="0.25">
      <c r="A18">
        <f t="shared" si="4"/>
        <v>5.5</v>
      </c>
      <c r="B18">
        <f t="shared" si="0"/>
        <v>2</v>
      </c>
      <c r="C18">
        <f t="shared" si="1"/>
        <v>0.75957212322496848</v>
      </c>
      <c r="D18">
        <f t="shared" si="2"/>
        <v>0.94648514795348382</v>
      </c>
      <c r="E18">
        <f t="shared" si="3"/>
        <v>1.4378474668638523</v>
      </c>
    </row>
    <row r="19" spans="1:5" x14ac:dyDescent="0.25">
      <c r="A19">
        <f t="shared" si="4"/>
        <v>6</v>
      </c>
      <c r="B19">
        <f t="shared" si="0"/>
        <v>2</v>
      </c>
      <c r="C19">
        <f t="shared" si="1"/>
        <v>0.74081822068171788</v>
      </c>
      <c r="D19">
        <f t="shared" si="2"/>
        <v>0.94176453358424872</v>
      </c>
      <c r="E19">
        <f t="shared" si="3"/>
        <v>1.3953526521420621</v>
      </c>
    </row>
    <row r="20" spans="1:5" x14ac:dyDescent="0.25">
      <c r="A20">
        <f t="shared" si="4"/>
        <v>6.5</v>
      </c>
      <c r="B20">
        <f t="shared" si="0"/>
        <v>2</v>
      </c>
      <c r="C20">
        <f t="shared" si="1"/>
        <v>0.72252735364207221</v>
      </c>
      <c r="D20">
        <f t="shared" si="2"/>
        <v>0.93706746337740343</v>
      </c>
      <c r="E20">
        <f t="shared" si="3"/>
        <v>1.3541137489963295</v>
      </c>
    </row>
    <row r="21" spans="1:5" x14ac:dyDescent="0.25">
      <c r="A21">
        <f t="shared" si="4"/>
        <v>7</v>
      </c>
      <c r="B21">
        <f t="shared" si="0"/>
        <v>2</v>
      </c>
      <c r="C21">
        <f t="shared" si="1"/>
        <v>0.70468808971871344</v>
      </c>
      <c r="D21">
        <f t="shared" si="2"/>
        <v>0.93239381990594827</v>
      </c>
      <c r="E21">
        <f t="shared" si="3"/>
        <v>1.3140936396301137</v>
      </c>
    </row>
    <row r="22" spans="1:5" x14ac:dyDescent="0.25">
      <c r="A22">
        <f t="shared" si="4"/>
        <v>7.5</v>
      </c>
      <c r="B22">
        <f t="shared" si="0"/>
        <v>2</v>
      </c>
      <c r="C22">
        <f t="shared" si="1"/>
        <v>0.68728927879097224</v>
      </c>
      <c r="D22">
        <f t="shared" si="2"/>
        <v>0.92774348632855286</v>
      </c>
      <c r="E22">
        <f t="shared" si="3"/>
        <v>1.2752563032435467</v>
      </c>
    </row>
    <row r="23" spans="1:5" x14ac:dyDescent="0.25">
      <c r="A23">
        <f t="shared" si="4"/>
        <v>8</v>
      </c>
      <c r="B23">
        <f t="shared" si="0"/>
        <v>2</v>
      </c>
      <c r="C23">
        <f t="shared" si="1"/>
        <v>0.67032004603563933</v>
      </c>
      <c r="D23">
        <f t="shared" si="2"/>
        <v>0.92311634638663576</v>
      </c>
      <c r="E23">
        <f t="shared" si="3"/>
        <v>1.2375667836122817</v>
      </c>
    </row>
    <row r="24" spans="1:5" x14ac:dyDescent="0.25">
      <c r="A24">
        <f t="shared" si="4"/>
        <v>8.5</v>
      </c>
      <c r="B24">
        <f t="shared" si="0"/>
        <v>2</v>
      </c>
      <c r="C24">
        <f t="shared" si="1"/>
        <v>0.65376978512984729</v>
      </c>
      <c r="D24">
        <f t="shared" si="2"/>
        <v>0.91851228440145738</v>
      </c>
      <c r="E24">
        <f t="shared" si="3"/>
        <v>1.200991157624532</v>
      </c>
    </row>
    <row r="25" spans="1:5" x14ac:dyDescent="0.25">
      <c r="A25">
        <f t="shared" si="4"/>
        <v>9</v>
      </c>
      <c r="B25">
        <f t="shared" si="0"/>
        <v>2</v>
      </c>
      <c r="C25">
        <f t="shared" si="1"/>
        <v>0.63762815162177333</v>
      </c>
      <c r="D25">
        <f t="shared" si="2"/>
        <v>0.91393118527122819</v>
      </c>
      <c r="E25">
        <f t="shared" si="3"/>
        <v>1.1654965047479795</v>
      </c>
    </row>
    <row r="26" spans="1:5" x14ac:dyDescent="0.25">
      <c r="A26">
        <f t="shared" si="4"/>
        <v>9.5</v>
      </c>
      <c r="B26">
        <f t="shared" si="0"/>
        <v>2</v>
      </c>
      <c r="C26">
        <f t="shared" si="1"/>
        <v>0.62188505646502001</v>
      </c>
      <c r="D26">
        <f t="shared" si="2"/>
        <v>0.90937293446823142</v>
      </c>
      <c r="E26">
        <f t="shared" si="3"/>
        <v>1.1310508773990742</v>
      </c>
    </row>
    <row r="27" spans="1:5" x14ac:dyDescent="0.25">
      <c r="A27">
        <f t="shared" si="4"/>
        <v>10</v>
      </c>
      <c r="B27">
        <f t="shared" si="0"/>
        <v>2</v>
      </c>
      <c r="C27">
        <f t="shared" si="1"/>
        <v>0.60653065971263342</v>
      </c>
      <c r="D27">
        <f t="shared" si="2"/>
        <v>0.90483741803595952</v>
      </c>
      <c r="E27">
        <f t="shared" si="3"/>
        <v>1.0976232721880528</v>
      </c>
    </row>
    <row r="29" spans="1:5" ht="15.75" thickBot="1" x14ac:dyDescent="0.3">
      <c r="A29" s="21" t="s">
        <v>93</v>
      </c>
      <c r="B29" s="19">
        <f>SUM(E8:E27)</f>
        <v>29.630291804473391</v>
      </c>
    </row>
    <row r="30" spans="1:5" x14ac:dyDescent="0.25">
      <c r="A30" t="s">
        <v>43</v>
      </c>
    </row>
    <row r="31" spans="1:5" ht="15.75" thickBot="1" x14ac:dyDescent="0.3">
      <c r="A31" s="13" t="s">
        <v>44</v>
      </c>
      <c r="B31" s="19">
        <f>89-B29-B5</f>
        <v>4.4885445861239717</v>
      </c>
    </row>
    <row r="33" spans="1:6" x14ac:dyDescent="0.25">
      <c r="A33" s="2" t="s">
        <v>31</v>
      </c>
    </row>
    <row r="35" spans="1:6" x14ac:dyDescent="0.25">
      <c r="A35" t="s">
        <v>45</v>
      </c>
    </row>
    <row r="36" spans="1:6" x14ac:dyDescent="0.25">
      <c r="A36" s="51"/>
      <c r="B36" s="51"/>
      <c r="C36" s="51"/>
      <c r="D36" s="51"/>
      <c r="E36" s="51"/>
      <c r="F36" s="51"/>
    </row>
    <row r="37" spans="1:6" x14ac:dyDescent="0.25">
      <c r="A37" s="51"/>
      <c r="B37" s="51"/>
      <c r="C37" s="51"/>
      <c r="D37" s="51"/>
      <c r="E37" s="51"/>
      <c r="F37" s="51"/>
    </row>
    <row r="38" spans="1:6" x14ac:dyDescent="0.25">
      <c r="A38" s="51"/>
      <c r="B38" s="51"/>
      <c r="C38" s="51"/>
      <c r="D38" s="51"/>
      <c r="E38" s="51"/>
      <c r="F38" s="51"/>
    </row>
    <row r="39" spans="1:6" x14ac:dyDescent="0.25">
      <c r="A39" t="s">
        <v>32</v>
      </c>
    </row>
    <row r="40" spans="1:6" ht="15.75" thickBot="1" x14ac:dyDescent="0.3">
      <c r="A40" s="13" t="s">
        <v>94</v>
      </c>
      <c r="B40" s="19">
        <f>B31*(-0.06)/(EXP(-0.06*10)-1)</f>
        <v>0.5968963224937297</v>
      </c>
    </row>
    <row r="42" spans="1:6" x14ac:dyDescent="0.25">
      <c r="A42" s="2" t="s">
        <v>17</v>
      </c>
    </row>
    <row r="44" spans="1:6" x14ac:dyDescent="0.25">
      <c r="A44" t="s">
        <v>46</v>
      </c>
    </row>
    <row r="45" spans="1:6" x14ac:dyDescent="0.25">
      <c r="A45" t="s">
        <v>47</v>
      </c>
    </row>
    <row r="47" spans="1:6" x14ac:dyDescent="0.25">
      <c r="A47" t="s">
        <v>48</v>
      </c>
    </row>
    <row r="48" spans="1:6" x14ac:dyDescent="0.25">
      <c r="A48" t="s">
        <v>95</v>
      </c>
    </row>
    <row r="49" spans="1:6" x14ac:dyDescent="0.25">
      <c r="A49" t="s">
        <v>49</v>
      </c>
    </row>
    <row r="50" spans="1:6" ht="15.75" thickBot="1" x14ac:dyDescent="0.3">
      <c r="A50" s="54" t="s">
        <v>50</v>
      </c>
      <c r="B50" s="54"/>
      <c r="C50" s="19">
        <f>B31*1/B40</f>
        <v>7.5198060650995604</v>
      </c>
    </row>
    <row r="51" spans="1:6" ht="15.75" thickBot="1" x14ac:dyDescent="0.3">
      <c r="A51" s="54" t="s">
        <v>51</v>
      </c>
      <c r="B51" s="54"/>
      <c r="C51" s="19">
        <f>C50+B29+B5</f>
        <v>92.031261478975594</v>
      </c>
    </row>
    <row r="53" spans="1:6" x14ac:dyDescent="0.25">
      <c r="A53" s="2" t="s">
        <v>52</v>
      </c>
    </row>
    <row r="55" spans="1:6" x14ac:dyDescent="0.25">
      <c r="A55" s="20" t="s">
        <v>53</v>
      </c>
      <c r="B55" s="20"/>
      <c r="C55" s="20"/>
    </row>
    <row r="57" spans="1:6" ht="15.75" thickBot="1" x14ac:dyDescent="0.3">
      <c r="A57" s="13" t="s">
        <v>38</v>
      </c>
      <c r="B57" s="13" t="s">
        <v>64</v>
      </c>
      <c r="C57" s="13" t="s">
        <v>40</v>
      </c>
      <c r="D57" s="13" t="s">
        <v>63</v>
      </c>
      <c r="E57" s="13" t="s">
        <v>65</v>
      </c>
      <c r="F57" s="13" t="s">
        <v>96</v>
      </c>
    </row>
    <row r="58" spans="1:6" x14ac:dyDescent="0.25">
      <c r="A58">
        <v>0.5</v>
      </c>
      <c r="B58">
        <f>2</f>
        <v>2</v>
      </c>
      <c r="C58">
        <f>EXP(-A58*0.05)</f>
        <v>0.97530991202833262</v>
      </c>
      <c r="D58">
        <f>B58*C58</f>
        <v>1.9506198240566652</v>
      </c>
    </row>
    <row r="59" spans="1:6" x14ac:dyDescent="0.25">
      <c r="A59">
        <f>A58+0.5</f>
        <v>1</v>
      </c>
      <c r="B59">
        <f>2</f>
        <v>2</v>
      </c>
      <c r="C59">
        <f t="shared" ref="C59:C77" si="5">EXP(-A59*0.05)</f>
        <v>0.95122942450071402</v>
      </c>
      <c r="D59">
        <f t="shared" ref="D59:D77" si="6">B59*C59</f>
        <v>1.902458849001428</v>
      </c>
    </row>
    <row r="60" spans="1:6" x14ac:dyDescent="0.25">
      <c r="A60">
        <f t="shared" ref="A60:A77" si="7">A59+0.5</f>
        <v>1.5</v>
      </c>
      <c r="B60">
        <f>2</f>
        <v>2</v>
      </c>
      <c r="C60">
        <f t="shared" si="5"/>
        <v>0.92774348632855286</v>
      </c>
      <c r="D60">
        <f t="shared" si="6"/>
        <v>1.8554869726571057</v>
      </c>
    </row>
    <row r="61" spans="1:6" x14ac:dyDescent="0.25">
      <c r="A61">
        <f t="shared" si="7"/>
        <v>2</v>
      </c>
      <c r="B61">
        <f>2</f>
        <v>2</v>
      </c>
      <c r="C61">
        <f t="shared" si="5"/>
        <v>0.90483741803595952</v>
      </c>
      <c r="D61">
        <f t="shared" si="6"/>
        <v>1.809674836071919</v>
      </c>
    </row>
    <row r="62" spans="1:6" x14ac:dyDescent="0.25">
      <c r="A62">
        <f t="shared" si="7"/>
        <v>2.5</v>
      </c>
      <c r="B62">
        <f>2</f>
        <v>2</v>
      </c>
      <c r="C62">
        <f t="shared" si="5"/>
        <v>0.88249690258459546</v>
      </c>
      <c r="D62">
        <f t="shared" si="6"/>
        <v>1.7649938051691909</v>
      </c>
    </row>
    <row r="63" spans="1:6" x14ac:dyDescent="0.25">
      <c r="A63">
        <f t="shared" si="7"/>
        <v>3</v>
      </c>
      <c r="B63">
        <f>2</f>
        <v>2</v>
      </c>
      <c r="C63">
        <f t="shared" si="5"/>
        <v>0.86070797642505781</v>
      </c>
      <c r="D63">
        <f t="shared" si="6"/>
        <v>1.7214159528501156</v>
      </c>
    </row>
    <row r="64" spans="1:6" x14ac:dyDescent="0.25">
      <c r="A64">
        <f t="shared" si="7"/>
        <v>3.5</v>
      </c>
      <c r="B64">
        <f>2</f>
        <v>2</v>
      </c>
      <c r="C64">
        <f t="shared" si="5"/>
        <v>0.83945702076920736</v>
      </c>
      <c r="D64">
        <f t="shared" si="6"/>
        <v>1.6789140415384147</v>
      </c>
    </row>
    <row r="65" spans="1:6" x14ac:dyDescent="0.25">
      <c r="A65">
        <f t="shared" si="7"/>
        <v>4</v>
      </c>
      <c r="B65">
        <f>2</f>
        <v>2</v>
      </c>
      <c r="C65">
        <f t="shared" si="5"/>
        <v>0.81873075307798182</v>
      </c>
      <c r="D65">
        <f t="shared" si="6"/>
        <v>1.6374615061559636</v>
      </c>
    </row>
    <row r="66" spans="1:6" x14ac:dyDescent="0.25">
      <c r="A66">
        <f t="shared" si="7"/>
        <v>4.5</v>
      </c>
      <c r="B66">
        <f>2</f>
        <v>2</v>
      </c>
      <c r="C66">
        <f t="shared" si="5"/>
        <v>0.79851621875937706</v>
      </c>
      <c r="D66">
        <f t="shared" si="6"/>
        <v>1.5970324375187541</v>
      </c>
    </row>
    <row r="67" spans="1:6" x14ac:dyDescent="0.25">
      <c r="A67">
        <f t="shared" si="7"/>
        <v>5</v>
      </c>
      <c r="B67">
        <f>2</f>
        <v>2</v>
      </c>
      <c r="C67">
        <f t="shared" si="5"/>
        <v>0.77880078307140488</v>
      </c>
      <c r="D67">
        <f t="shared" si="6"/>
        <v>1.5576015661428098</v>
      </c>
    </row>
    <row r="68" spans="1:6" x14ac:dyDescent="0.25">
      <c r="A68">
        <f t="shared" si="7"/>
        <v>5.5</v>
      </c>
      <c r="B68">
        <f>2</f>
        <v>2</v>
      </c>
      <c r="C68">
        <f t="shared" si="5"/>
        <v>0.75957212322496848</v>
      </c>
      <c r="D68">
        <f t="shared" si="6"/>
        <v>1.519144246449937</v>
      </c>
    </row>
    <row r="69" spans="1:6" x14ac:dyDescent="0.25">
      <c r="A69">
        <f t="shared" si="7"/>
        <v>6</v>
      </c>
      <c r="B69">
        <f>2</f>
        <v>2</v>
      </c>
      <c r="C69">
        <f t="shared" si="5"/>
        <v>0.74081822068171788</v>
      </c>
      <c r="D69">
        <f t="shared" si="6"/>
        <v>1.4816364413634358</v>
      </c>
    </row>
    <row r="70" spans="1:6" x14ac:dyDescent="0.25">
      <c r="A70">
        <f t="shared" si="7"/>
        <v>6.5</v>
      </c>
      <c r="B70">
        <f>2</f>
        <v>2</v>
      </c>
      <c r="C70">
        <f t="shared" si="5"/>
        <v>0.72252735364207221</v>
      </c>
      <c r="D70">
        <f t="shared" si="6"/>
        <v>1.4450547072841444</v>
      </c>
    </row>
    <row r="71" spans="1:6" x14ac:dyDescent="0.25">
      <c r="A71">
        <f t="shared" si="7"/>
        <v>7</v>
      </c>
      <c r="B71">
        <f>2</f>
        <v>2</v>
      </c>
      <c r="C71">
        <f t="shared" si="5"/>
        <v>0.70468808971871344</v>
      </c>
      <c r="D71">
        <f t="shared" si="6"/>
        <v>1.4093761794374269</v>
      </c>
    </row>
    <row r="72" spans="1:6" x14ac:dyDescent="0.25">
      <c r="A72">
        <f t="shared" si="7"/>
        <v>7.5</v>
      </c>
      <c r="B72">
        <f>2</f>
        <v>2</v>
      </c>
      <c r="C72">
        <f t="shared" si="5"/>
        <v>0.68728927879097224</v>
      </c>
      <c r="D72">
        <f t="shared" si="6"/>
        <v>1.3745785575819445</v>
      </c>
    </row>
    <row r="73" spans="1:6" x14ac:dyDescent="0.25">
      <c r="A73">
        <f t="shared" si="7"/>
        <v>8</v>
      </c>
      <c r="B73">
        <f>2</f>
        <v>2</v>
      </c>
      <c r="C73">
        <f t="shared" si="5"/>
        <v>0.67032004603563933</v>
      </c>
      <c r="D73">
        <f t="shared" si="6"/>
        <v>1.3406400920712787</v>
      </c>
    </row>
    <row r="74" spans="1:6" x14ac:dyDescent="0.25">
      <c r="A74">
        <f t="shared" si="7"/>
        <v>8.5</v>
      </c>
      <c r="B74">
        <f>2</f>
        <v>2</v>
      </c>
      <c r="C74">
        <f t="shared" si="5"/>
        <v>0.65376978512984729</v>
      </c>
      <c r="D74">
        <f t="shared" si="6"/>
        <v>1.3075395702596946</v>
      </c>
    </row>
    <row r="75" spans="1:6" x14ac:dyDescent="0.25">
      <c r="A75">
        <f t="shared" si="7"/>
        <v>9</v>
      </c>
      <c r="B75">
        <f>2</f>
        <v>2</v>
      </c>
      <c r="C75">
        <f t="shared" si="5"/>
        <v>0.63762815162177333</v>
      </c>
      <c r="D75">
        <f t="shared" si="6"/>
        <v>1.2752563032435467</v>
      </c>
    </row>
    <row r="76" spans="1:6" x14ac:dyDescent="0.25">
      <c r="A76">
        <f t="shared" si="7"/>
        <v>9.5</v>
      </c>
      <c r="B76">
        <f>2</f>
        <v>2</v>
      </c>
      <c r="C76">
        <f t="shared" si="5"/>
        <v>0.62188505646502001</v>
      </c>
      <c r="D76">
        <f t="shared" si="6"/>
        <v>1.24377011293004</v>
      </c>
    </row>
    <row r="77" spans="1:6" x14ac:dyDescent="0.25">
      <c r="A77">
        <f t="shared" si="7"/>
        <v>10</v>
      </c>
      <c r="B77">
        <v>2</v>
      </c>
      <c r="C77">
        <f t="shared" si="5"/>
        <v>0.60653065971263342</v>
      </c>
      <c r="D77">
        <f t="shared" si="6"/>
        <v>1.2130613194252668</v>
      </c>
      <c r="E77">
        <v>100</v>
      </c>
      <c r="F77">
        <f>E77*C77</f>
        <v>60.653065971263345</v>
      </c>
    </row>
    <row r="78" spans="1:6" ht="15.75" thickBot="1" x14ac:dyDescent="0.3">
      <c r="C78" s="13" t="s">
        <v>66</v>
      </c>
      <c r="D78" s="2">
        <f>SUM(D58:D77)</f>
        <v>31.085717321209081</v>
      </c>
      <c r="E78" s="13" t="s">
        <v>68</v>
      </c>
      <c r="F78" s="2">
        <f>F77</f>
        <v>60.653065971263345</v>
      </c>
    </row>
    <row r="79" spans="1:6" ht="15.75" thickBot="1" x14ac:dyDescent="0.3">
      <c r="C79" s="13" t="s">
        <v>67</v>
      </c>
      <c r="D79" s="19">
        <f>D78+F78</f>
        <v>91.738783292472419</v>
      </c>
    </row>
    <row r="81" spans="1:13" x14ac:dyDescent="0.25">
      <c r="A81" s="20" t="s">
        <v>54</v>
      </c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</row>
    <row r="82" spans="1:13" x14ac:dyDescent="0.25">
      <c r="A82" s="20" t="s">
        <v>55</v>
      </c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</row>
    <row r="83" spans="1:13" x14ac:dyDescent="0.25">
      <c r="A83" s="20" t="s">
        <v>56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</row>
    <row r="84" spans="1:13" x14ac:dyDescent="0.25">
      <c r="A84" s="20" t="s">
        <v>75</v>
      </c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</row>
    <row r="85" spans="1:13" x14ac:dyDescent="0.25">
      <c r="A85" s="20" t="s">
        <v>57</v>
      </c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</row>
    <row r="87" spans="1:13" x14ac:dyDescent="0.25">
      <c r="A87" t="s">
        <v>58</v>
      </c>
    </row>
    <row r="88" spans="1:13" x14ac:dyDescent="0.25">
      <c r="A88" t="s">
        <v>47</v>
      </c>
    </row>
    <row r="89" spans="1:13" x14ac:dyDescent="0.25">
      <c r="A89" t="s">
        <v>59</v>
      </c>
    </row>
    <row r="90" spans="1:13" x14ac:dyDescent="0.25">
      <c r="A90" s="15" t="s">
        <v>60</v>
      </c>
      <c r="B90">
        <f>C50</f>
        <v>7.5198060650995604</v>
      </c>
    </row>
    <row r="91" spans="1:13" x14ac:dyDescent="0.25">
      <c r="A91" s="15" t="s">
        <v>61</v>
      </c>
      <c r="B91">
        <f>B5</f>
        <v>54.881163609402641</v>
      </c>
    </row>
    <row r="92" spans="1:13" x14ac:dyDescent="0.25">
      <c r="A92" s="15" t="s">
        <v>70</v>
      </c>
      <c r="B92">
        <f>B91+B90</f>
        <v>62.4009696745022</v>
      </c>
    </row>
    <row r="93" spans="1:13" x14ac:dyDescent="0.25">
      <c r="A93" t="s">
        <v>62</v>
      </c>
    </row>
    <row r="94" spans="1:13" x14ac:dyDescent="0.25">
      <c r="A94" t="s">
        <v>69</v>
      </c>
    </row>
    <row r="95" spans="1:13" x14ac:dyDescent="0.25">
      <c r="A95" t="s">
        <v>71</v>
      </c>
    </row>
    <row r="97" spans="1:3" x14ac:dyDescent="0.25">
      <c r="A97" t="s">
        <v>72</v>
      </c>
    </row>
    <row r="98" spans="1:3" x14ac:dyDescent="0.25">
      <c r="A98" t="s">
        <v>73</v>
      </c>
    </row>
    <row r="100" spans="1:3" x14ac:dyDescent="0.25">
      <c r="A100" s="53" t="s">
        <v>97</v>
      </c>
      <c r="B100" s="53"/>
      <c r="C100" s="53"/>
    </row>
    <row r="101" spans="1:3" x14ac:dyDescent="0.25">
      <c r="A101" s="22" t="s">
        <v>74</v>
      </c>
      <c r="B101" s="19">
        <f>(B92-F78)*0.04/(D78-B29)</f>
        <v>4.8038286621747577E-2</v>
      </c>
    </row>
  </sheetData>
  <mergeCells count="4">
    <mergeCell ref="A36:F38"/>
    <mergeCell ref="A50:B50"/>
    <mergeCell ref="A51:B51"/>
    <mergeCell ref="A100:C10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144"/>
  <sheetViews>
    <sheetView topLeftCell="A19" zoomScale="85" zoomScaleNormal="85" workbookViewId="0">
      <selection activeCell="F69" sqref="F69"/>
    </sheetView>
  </sheetViews>
  <sheetFormatPr defaultRowHeight="15" x14ac:dyDescent="0.25"/>
  <cols>
    <col min="1" max="1" width="20.140625" customWidth="1"/>
    <col min="2" max="2" width="15" customWidth="1"/>
    <col min="3" max="3" width="15.28515625" customWidth="1"/>
    <col min="4" max="4" width="26.42578125" customWidth="1"/>
    <col min="5" max="5" width="15.28515625" customWidth="1"/>
    <col min="6" max="6" width="15.85546875" customWidth="1"/>
    <col min="7" max="7" width="18.28515625" bestFit="1" customWidth="1"/>
    <col min="8" max="8" width="21.140625" customWidth="1"/>
    <col min="9" max="9" width="13.85546875" customWidth="1"/>
    <col min="10" max="10" width="19.42578125" bestFit="1" customWidth="1"/>
    <col min="11" max="11" width="13.28515625" customWidth="1"/>
    <col min="12" max="12" width="16.5703125" customWidth="1"/>
    <col min="13" max="13" width="19.7109375" customWidth="1"/>
    <col min="14" max="14" width="17.42578125" customWidth="1"/>
    <col min="15" max="15" width="14.7109375" customWidth="1"/>
  </cols>
  <sheetData>
    <row r="2" spans="1:13" x14ac:dyDescent="0.25">
      <c r="A2" s="15" t="s">
        <v>76</v>
      </c>
      <c r="B2" s="14">
        <v>2.5000000000000001E-2</v>
      </c>
    </row>
    <row r="3" spans="1:13" x14ac:dyDescent="0.25">
      <c r="A3" s="15" t="s">
        <v>77</v>
      </c>
      <c r="B3" s="14">
        <f>50*0.0001</f>
        <v>5.0000000000000001E-3</v>
      </c>
    </row>
    <row r="5" spans="1:13" ht="14.45" x14ac:dyDescent="0.3">
      <c r="A5" s="2" t="s">
        <v>29</v>
      </c>
    </row>
    <row r="7" spans="1:13" ht="15.75" thickBot="1" x14ac:dyDescent="0.3">
      <c r="A7" s="15" t="s">
        <v>64</v>
      </c>
      <c r="B7" s="14">
        <f>2.515*0.01</f>
        <v>2.5150000000000002E-2</v>
      </c>
    </row>
    <row r="8" spans="1:13" x14ac:dyDescent="0.25">
      <c r="C8" s="55" t="s">
        <v>80</v>
      </c>
      <c r="D8" s="56"/>
      <c r="E8" s="57"/>
      <c r="F8" s="56" t="s">
        <v>81</v>
      </c>
      <c r="G8" s="57"/>
      <c r="H8" s="55" t="s">
        <v>82</v>
      </c>
      <c r="I8" s="57"/>
      <c r="J8" s="55" t="s">
        <v>84</v>
      </c>
      <c r="K8" s="57"/>
      <c r="L8" s="55" t="s">
        <v>85</v>
      </c>
      <c r="M8" s="57"/>
    </row>
    <row r="9" spans="1:13" ht="15.75" thickBot="1" x14ac:dyDescent="0.3">
      <c r="A9" s="17" t="s">
        <v>38</v>
      </c>
      <c r="B9" s="17" t="s">
        <v>78</v>
      </c>
      <c r="C9" s="29" t="s">
        <v>40</v>
      </c>
      <c r="D9" s="30" t="s">
        <v>98</v>
      </c>
      <c r="E9" s="31" t="s">
        <v>24</v>
      </c>
      <c r="F9" s="25" t="s">
        <v>40</v>
      </c>
      <c r="G9" s="26" t="s">
        <v>24</v>
      </c>
      <c r="H9" s="27" t="s">
        <v>40</v>
      </c>
      <c r="I9" s="24" t="s">
        <v>24</v>
      </c>
      <c r="J9" s="27" t="s">
        <v>79</v>
      </c>
      <c r="K9" s="26" t="s">
        <v>24</v>
      </c>
      <c r="L9" s="27" t="s">
        <v>79</v>
      </c>
      <c r="M9" s="24" t="s">
        <v>24</v>
      </c>
    </row>
    <row r="10" spans="1:13" x14ac:dyDescent="0.25">
      <c r="A10">
        <v>0.5</v>
      </c>
      <c r="B10">
        <f>$B$7*100/2</f>
        <v>1.2575000000000001</v>
      </c>
      <c r="C10" s="3">
        <f>EXP(-A10*$B$2)</f>
        <v>0.98757780049388144</v>
      </c>
      <c r="D10" s="4">
        <f>EXP(-$B$3*A10)</f>
        <v>0.99750312239746008</v>
      </c>
      <c r="E10" s="5">
        <f>B10*C10*D10</f>
        <v>1.2387782640508513</v>
      </c>
      <c r="F10" s="4">
        <f>EXP(-A10*($B$2+0.0001))</f>
        <v>0.98752842283830844</v>
      </c>
      <c r="G10" s="5">
        <f>F10*D10*B10</f>
        <v>1.2387163266860959</v>
      </c>
      <c r="H10" s="3">
        <f>EXP(-A10*($B$2-0.0001))</f>
        <v>0.98762718061839894</v>
      </c>
      <c r="I10" s="5">
        <f>H10*D10*B10</f>
        <v>1.2388402045125524</v>
      </c>
      <c r="J10" s="3">
        <f>EXP(-A10*($B$3+0.0001))</f>
        <v>0.99745324848819839</v>
      </c>
      <c r="K10" s="5">
        <f>J10*C10*B10</f>
        <v>1.2387163266860959</v>
      </c>
      <c r="L10" s="9">
        <f>EXP(-A10*($B$3-0.0001))</f>
        <v>0.99755299880047965</v>
      </c>
      <c r="M10" s="10">
        <f>L10*C10*B10</f>
        <v>1.2388402045125526</v>
      </c>
    </row>
    <row r="11" spans="1:13" x14ac:dyDescent="0.25">
      <c r="A11">
        <f>A10+0.5</f>
        <v>1</v>
      </c>
      <c r="B11">
        <f t="shared" ref="B11:B18" si="0">$B$7*100/2</f>
        <v>1.2575000000000001</v>
      </c>
      <c r="C11" s="3">
        <f t="shared" ref="C11:C19" si="1">EXP(-A11*$B$2)</f>
        <v>0.97530991202833262</v>
      </c>
      <c r="D11" s="4">
        <f t="shared" ref="D11:D19" si="2">EXP(-$B$3*A11)</f>
        <v>0.99501247919268232</v>
      </c>
      <c r="E11" s="5">
        <f t="shared" ref="E11:E19" si="3">B11*C11*D11</f>
        <v>1.2203352584372489</v>
      </c>
      <c r="F11" s="4">
        <f t="shared" ref="F11:F19" si="4">EXP(-A11*($B$2+0.0001))</f>
        <v>0.97521238591351689</v>
      </c>
      <c r="G11" s="5">
        <f t="shared" ref="G11:G19" si="5">F11*D11*B11</f>
        <v>1.2202132310128784</v>
      </c>
      <c r="H11" s="3">
        <f t="shared" ref="H11:H19" si="6">EXP(-A11*($B$2-0.0001))</f>
        <v>0.97540744789624767</v>
      </c>
      <c r="I11" s="5">
        <f t="shared" ref="I11:I19" si="7">H11*D11*B11</f>
        <v>1.2204572980649726</v>
      </c>
      <c r="J11" s="3">
        <f t="shared" ref="J11:J19" si="8">EXP(-A11*($B$3+0.0001))</f>
        <v>0.99491298291965957</v>
      </c>
      <c r="K11" s="5">
        <f t="shared" ref="K11:K19" si="9">J11*C11*B11</f>
        <v>1.2202132310128782</v>
      </c>
      <c r="L11" s="9">
        <f t="shared" ref="L11:L19" si="10">EXP(-A11*($B$3-0.0001))</f>
        <v>0.99511198541582979</v>
      </c>
      <c r="M11" s="10">
        <f t="shared" ref="M11:M19" si="11">L11*C11*B11</f>
        <v>1.2204572980649724</v>
      </c>
    </row>
    <row r="12" spans="1:13" x14ac:dyDescent="0.25">
      <c r="A12">
        <f t="shared" ref="A12:A19" si="12">A11+0.5</f>
        <v>1.5</v>
      </c>
      <c r="B12">
        <f t="shared" si="0"/>
        <v>1.2575000000000001</v>
      </c>
      <c r="C12" s="3">
        <f t="shared" si="1"/>
        <v>0.96319441772082182</v>
      </c>
      <c r="D12" s="4">
        <f t="shared" si="2"/>
        <v>0.99252805481913842</v>
      </c>
      <c r="E12" s="5">
        <f t="shared" si="3"/>
        <v>1.2021668334051232</v>
      </c>
      <c r="F12" s="4">
        <f t="shared" si="4"/>
        <v>0.96304994939355903</v>
      </c>
      <c r="G12" s="5">
        <f t="shared" si="5"/>
        <v>1.2019865219038131</v>
      </c>
      <c r="H12" s="3">
        <f t="shared" si="6"/>
        <v>0.96333890771995889</v>
      </c>
      <c r="I12" s="5">
        <f t="shared" si="7"/>
        <v>1.202347171955187</v>
      </c>
      <c r="J12" s="3">
        <f t="shared" si="8"/>
        <v>0.99237918677629788</v>
      </c>
      <c r="K12" s="5">
        <f t="shared" si="9"/>
        <v>1.2019865219038131</v>
      </c>
      <c r="L12" s="9">
        <f t="shared" si="10"/>
        <v>0.99267694519386018</v>
      </c>
      <c r="M12" s="10">
        <f t="shared" si="11"/>
        <v>1.202347171955187</v>
      </c>
    </row>
    <row r="13" spans="1:13" x14ac:dyDescent="0.25">
      <c r="A13">
        <f t="shared" si="12"/>
        <v>2</v>
      </c>
      <c r="B13">
        <f t="shared" si="0"/>
        <v>1.2575000000000001</v>
      </c>
      <c r="C13" s="3">
        <f t="shared" si="1"/>
        <v>0.95122942450071402</v>
      </c>
      <c r="D13" s="4">
        <f t="shared" si="2"/>
        <v>0.99004983374916811</v>
      </c>
      <c r="E13" s="5">
        <f t="shared" si="3"/>
        <v>1.184268900982193</v>
      </c>
      <c r="F13" s="4">
        <f t="shared" si="4"/>
        <v>0.95103919763913414</v>
      </c>
      <c r="G13" s="5">
        <f t="shared" si="5"/>
        <v>1.1840320708857957</v>
      </c>
      <c r="H13" s="3">
        <f t="shared" si="6"/>
        <v>0.95141968941147104</v>
      </c>
      <c r="I13" s="5">
        <f t="shared" si="7"/>
        <v>1.1845057784493465</v>
      </c>
      <c r="J13" s="3">
        <f t="shared" si="8"/>
        <v>0.98985184358209488</v>
      </c>
      <c r="K13" s="5">
        <f t="shared" si="9"/>
        <v>1.1840320708857954</v>
      </c>
      <c r="L13" s="9">
        <f t="shared" si="10"/>
        <v>0.99024786351823468</v>
      </c>
      <c r="M13" s="10">
        <f t="shared" si="11"/>
        <v>1.1845057784493465</v>
      </c>
    </row>
    <row r="14" spans="1:13" x14ac:dyDescent="0.25">
      <c r="A14">
        <f t="shared" si="12"/>
        <v>2.5</v>
      </c>
      <c r="B14">
        <f t="shared" si="0"/>
        <v>1.2575000000000001</v>
      </c>
      <c r="C14" s="3">
        <f t="shared" si="1"/>
        <v>0.93941306281347581</v>
      </c>
      <c r="D14" s="4">
        <f t="shared" si="2"/>
        <v>0.98757780049388144</v>
      </c>
      <c r="E14" s="5">
        <f t="shared" si="3"/>
        <v>1.1666374340581553</v>
      </c>
      <c r="F14" s="4">
        <f t="shared" si="4"/>
        <v>0.93917823890198437</v>
      </c>
      <c r="G14" s="5">
        <f t="shared" si="5"/>
        <v>1.1663458111540226</v>
      </c>
      <c r="H14" s="3">
        <f t="shared" si="6"/>
        <v>0.93964794543828389</v>
      </c>
      <c r="I14" s="5">
        <f t="shared" si="7"/>
        <v>1.166929129877128</v>
      </c>
      <c r="J14" s="3">
        <f t="shared" si="8"/>
        <v>0.98733093690299256</v>
      </c>
      <c r="K14" s="5">
        <f t="shared" si="9"/>
        <v>1.1663458111540226</v>
      </c>
      <c r="L14" s="9">
        <f t="shared" si="10"/>
        <v>0.9878247258083831</v>
      </c>
      <c r="M14" s="10">
        <f t="shared" si="11"/>
        <v>1.1669291298771278</v>
      </c>
    </row>
    <row r="15" spans="1:13" x14ac:dyDescent="0.25">
      <c r="A15">
        <f t="shared" si="12"/>
        <v>3</v>
      </c>
      <c r="B15">
        <f t="shared" si="0"/>
        <v>1.2575000000000001</v>
      </c>
      <c r="C15" s="3">
        <f t="shared" si="1"/>
        <v>0.92774348632855286</v>
      </c>
      <c r="D15" s="4">
        <f t="shared" si="2"/>
        <v>0.98511193960306265</v>
      </c>
      <c r="E15" s="5">
        <f t="shared" si="3"/>
        <v>1.1492684654785694</v>
      </c>
      <c r="F15" s="4">
        <f t="shared" si="4"/>
        <v>0.92746520502693663</v>
      </c>
      <c r="G15" s="5">
        <f t="shared" si="5"/>
        <v>1.1489237366508356</v>
      </c>
      <c r="H15" s="3">
        <f t="shared" si="6"/>
        <v>0.92802185112708346</v>
      </c>
      <c r="I15" s="5">
        <f t="shared" si="7"/>
        <v>1.1496132977404661</v>
      </c>
      <c r="J15" s="3">
        <f t="shared" si="8"/>
        <v>0.98481645034678633</v>
      </c>
      <c r="K15" s="5">
        <f t="shared" si="9"/>
        <v>1.1489237366508356</v>
      </c>
      <c r="L15" s="9">
        <f t="shared" si="10"/>
        <v>0.98540751751941424</v>
      </c>
      <c r="M15" s="10">
        <f t="shared" si="11"/>
        <v>1.1496132977404663</v>
      </c>
    </row>
    <row r="16" spans="1:13" x14ac:dyDescent="0.25">
      <c r="A16">
        <f t="shared" si="12"/>
        <v>3.5</v>
      </c>
      <c r="B16">
        <f t="shared" si="0"/>
        <v>1.2575000000000001</v>
      </c>
      <c r="C16" s="3">
        <f t="shared" si="1"/>
        <v>0.91621887165087756</v>
      </c>
      <c r="D16" s="4">
        <f t="shared" si="2"/>
        <v>0.9826522356650732</v>
      </c>
      <c r="E16" s="5">
        <f t="shared" si="3"/>
        <v>1.132158087152229</v>
      </c>
      <c r="F16" s="4">
        <f t="shared" si="4"/>
        <v>0.9158982511576591</v>
      </c>
      <c r="G16" s="5">
        <f t="shared" si="5"/>
        <v>1.1317619011583193</v>
      </c>
      <c r="H16" s="3">
        <f t="shared" si="6"/>
        <v>0.91653960438090898</v>
      </c>
      <c r="I16" s="5">
        <f t="shared" si="7"/>
        <v>1.1325544118355062</v>
      </c>
      <c r="J16" s="3">
        <f t="shared" si="8"/>
        <v>0.98230836756301854</v>
      </c>
      <c r="K16" s="5">
        <f t="shared" si="9"/>
        <v>1.1317619011583191</v>
      </c>
      <c r="L16" s="9">
        <f t="shared" si="10"/>
        <v>0.98299622414202781</v>
      </c>
      <c r="M16" s="10">
        <f t="shared" si="11"/>
        <v>1.132554411835506</v>
      </c>
    </row>
    <row r="17" spans="1:15" x14ac:dyDescent="0.25">
      <c r="A17">
        <f t="shared" si="12"/>
        <v>4</v>
      </c>
      <c r="B17">
        <f t="shared" si="0"/>
        <v>1.2575000000000001</v>
      </c>
      <c r="C17" s="3">
        <f t="shared" si="1"/>
        <v>0.90483741803595952</v>
      </c>
      <c r="D17" s="4">
        <f t="shared" si="2"/>
        <v>0.98019867330675525</v>
      </c>
      <c r="E17" s="5">
        <f t="shared" si="3"/>
        <v>1.1153024491718255</v>
      </c>
      <c r="F17" s="4">
        <f t="shared" si="4"/>
        <v>0.90447555544608804</v>
      </c>
      <c r="G17" s="5">
        <f t="shared" si="5"/>
        <v>1.1148564174044575</v>
      </c>
      <c r="H17" s="3">
        <f t="shared" si="6"/>
        <v>0.90519942539982001</v>
      </c>
      <c r="I17" s="5">
        <f t="shared" si="7"/>
        <v>1.115748659387588</v>
      </c>
      <c r="J17" s="3">
        <f t="shared" si="8"/>
        <v>0.9798066722428721</v>
      </c>
      <c r="K17" s="5">
        <f t="shared" si="9"/>
        <v>1.1148564174044575</v>
      </c>
      <c r="L17" s="9">
        <f t="shared" si="10"/>
        <v>0.9805908312024284</v>
      </c>
      <c r="M17" s="10">
        <f t="shared" si="11"/>
        <v>1.115748659387588</v>
      </c>
    </row>
    <row r="18" spans="1:15" x14ac:dyDescent="0.25">
      <c r="A18">
        <f>A17+0.5</f>
        <v>4.5</v>
      </c>
      <c r="B18">
        <f t="shared" si="0"/>
        <v>1.2575000000000001</v>
      </c>
      <c r="C18" s="3">
        <f t="shared" si="1"/>
        <v>0.89359734710851568</v>
      </c>
      <c r="D18" s="4">
        <f t="shared" si="2"/>
        <v>0.97775123719333634</v>
      </c>
      <c r="E18" s="5">
        <f t="shared" si="3"/>
        <v>1.0986977589477034</v>
      </c>
      <c r="F18" s="4">
        <f t="shared" si="4"/>
        <v>0.8931953187654782</v>
      </c>
      <c r="G18" s="5">
        <f t="shared" si="5"/>
        <v>1.0982034561826404</v>
      </c>
      <c r="H18" s="3">
        <f t="shared" si="6"/>
        <v>0.89399955640501894</v>
      </c>
      <c r="I18" s="5">
        <f t="shared" si="7"/>
        <v>1.0991922841990662</v>
      </c>
      <c r="J18" s="3">
        <f t="shared" si="8"/>
        <v>0.97731134811906417</v>
      </c>
      <c r="K18" s="5">
        <f t="shared" si="9"/>
        <v>1.0982034561826404</v>
      </c>
      <c r="L18" s="9">
        <f t="shared" si="10"/>
        <v>0.97819132426223743</v>
      </c>
      <c r="M18" s="10">
        <f t="shared" si="11"/>
        <v>1.0991922841990662</v>
      </c>
    </row>
    <row r="19" spans="1:15" ht="15.75" thickBot="1" x14ac:dyDescent="0.3">
      <c r="A19">
        <f t="shared" si="12"/>
        <v>5</v>
      </c>
      <c r="B19">
        <f>$B$7*100/2+100</f>
        <v>101.25749999999999</v>
      </c>
      <c r="C19" s="3">
        <f t="shared" si="1"/>
        <v>0.88249690258459546</v>
      </c>
      <c r="D19" s="4">
        <f t="shared" si="2"/>
        <v>0.97530991202833262</v>
      </c>
      <c r="E19" s="5">
        <f t="shared" si="3"/>
        <v>87.153137922860282</v>
      </c>
      <c r="F19" s="7">
        <f t="shared" si="4"/>
        <v>0.88205576442703293</v>
      </c>
      <c r="G19" s="8">
        <f t="shared" si="5"/>
        <v>87.109572246225625</v>
      </c>
      <c r="H19" s="6">
        <f t="shared" si="6"/>
        <v>0.8829382613663882</v>
      </c>
      <c r="I19" s="8">
        <f t="shared" si="7"/>
        <v>87.196725387779864</v>
      </c>
      <c r="J19" s="6">
        <f t="shared" si="8"/>
        <v>0.97482237896574109</v>
      </c>
      <c r="K19" s="8">
        <f t="shared" si="9"/>
        <v>87.109572246225639</v>
      </c>
      <c r="L19" s="11">
        <f t="shared" si="10"/>
        <v>0.97579768891840735</v>
      </c>
      <c r="M19" s="12">
        <f t="shared" si="11"/>
        <v>87.196725387779878</v>
      </c>
    </row>
    <row r="20" spans="1:15" ht="15.75" thickBot="1" x14ac:dyDescent="0.3">
      <c r="C20" s="6"/>
      <c r="D20" s="28" t="s">
        <v>99</v>
      </c>
      <c r="E20" s="32">
        <f>SUM(E10:E19)</f>
        <v>97.660751374544176</v>
      </c>
      <c r="G20" s="19">
        <f>SUM(G10:G19)</f>
        <v>97.614611719264488</v>
      </c>
      <c r="I20" s="19">
        <f>SUM(I10:I19)</f>
        <v>97.706913623801682</v>
      </c>
      <c r="K20" s="19">
        <f>SUM(K10:K19)</f>
        <v>97.614611719264502</v>
      </c>
      <c r="M20" s="19">
        <f>SUM(M10:M19)</f>
        <v>97.706913623801697</v>
      </c>
    </row>
    <row r="21" spans="1:15" ht="15.75" thickBot="1" x14ac:dyDescent="0.3">
      <c r="G21" s="13" t="s">
        <v>83</v>
      </c>
      <c r="H21" s="1">
        <f>-((G20-I20)/(0.0001*2))/E20</f>
        <v>4.7256396883125689</v>
      </c>
      <c r="J21" s="58" t="s">
        <v>86</v>
      </c>
      <c r="K21" s="58"/>
      <c r="L21" s="1">
        <f>-((K20-M20)/(0.0001*2))/E20</f>
        <v>4.7256396883125689</v>
      </c>
    </row>
    <row r="23" spans="1:15" ht="15.75" thickBot="1" x14ac:dyDescent="0.3">
      <c r="A23" s="2" t="s">
        <v>31</v>
      </c>
    </row>
    <row r="24" spans="1:15" x14ac:dyDescent="0.25">
      <c r="A24" s="2"/>
      <c r="C24" s="55" t="s">
        <v>80</v>
      </c>
      <c r="D24" s="56"/>
      <c r="E24" s="57"/>
      <c r="F24" s="55" t="s">
        <v>81</v>
      </c>
      <c r="G24" s="56"/>
      <c r="H24" s="57"/>
      <c r="I24" s="55" t="s">
        <v>82</v>
      </c>
      <c r="J24" s="56"/>
      <c r="K24" s="57"/>
      <c r="L24" s="55" t="s">
        <v>84</v>
      </c>
      <c r="M24" s="57"/>
      <c r="N24" s="55" t="s">
        <v>85</v>
      </c>
      <c r="O24" s="57"/>
    </row>
    <row r="25" spans="1:15" ht="15.75" thickBot="1" x14ac:dyDescent="0.3">
      <c r="A25" s="17" t="s">
        <v>38</v>
      </c>
      <c r="B25" s="17" t="s">
        <v>78</v>
      </c>
      <c r="C25" s="23" t="s">
        <v>40</v>
      </c>
      <c r="D25" s="30" t="s">
        <v>98</v>
      </c>
      <c r="E25" s="31" t="s">
        <v>24</v>
      </c>
      <c r="F25" s="29" t="s">
        <v>78</v>
      </c>
      <c r="G25" s="30" t="s">
        <v>40</v>
      </c>
      <c r="H25" s="33" t="s">
        <v>24</v>
      </c>
      <c r="I25" s="29" t="s">
        <v>78</v>
      </c>
      <c r="J25" s="30" t="s">
        <v>40</v>
      </c>
      <c r="K25" s="33" t="s">
        <v>24</v>
      </c>
      <c r="L25" s="34" t="s">
        <v>79</v>
      </c>
      <c r="M25" s="33" t="s">
        <v>24</v>
      </c>
      <c r="N25" s="34" t="s">
        <v>79</v>
      </c>
      <c r="O25" s="35" t="s">
        <v>24</v>
      </c>
    </row>
    <row r="26" spans="1:15" x14ac:dyDescent="0.25">
      <c r="A26">
        <v>0.25</v>
      </c>
      <c r="B26">
        <f>100*(EXP($B$2*0.25)-1)</f>
        <v>0.62695720037619918</v>
      </c>
      <c r="C26" s="3">
        <f>EXP(-A26*$B$2)</f>
        <v>0.9937694906233947</v>
      </c>
      <c r="D26" s="4">
        <f>EXP(-$B$3*A26)</f>
        <v>0.99875078092458092</v>
      </c>
      <c r="E26" s="5">
        <f>B26*C26*D26</f>
        <v>0.62227261054424188</v>
      </c>
      <c r="F26" s="3">
        <f>100*(EXP(($B$2+0.0001)*0.25)-1)</f>
        <v>0.6294729057523929</v>
      </c>
      <c r="G26" s="4">
        <f>EXP(-A26*($B$2+0.0001))</f>
        <v>0.9937446466966795</v>
      </c>
      <c r="H26" s="5">
        <f>G26*F26*D26</f>
        <v>0.62475389966504458</v>
      </c>
      <c r="I26" s="3">
        <f>100*(EXP(($B$2-0.0001)*0.25)-1)</f>
        <v>0.62444155789185274</v>
      </c>
      <c r="J26" s="4">
        <f>EXP(-A26*($B$2-0.0001))</f>
        <v>0.99379433517121585</v>
      </c>
      <c r="K26" s="5">
        <f>J26*I26*D26</f>
        <v>0.61979125939043467</v>
      </c>
      <c r="L26" s="3">
        <f>EXP(-A26*($B$3+0.0001))</f>
        <v>0.99872581246716474</v>
      </c>
      <c r="M26" s="5">
        <f>L26*C26*B26</f>
        <v>0.62225705392343678</v>
      </c>
      <c r="N26" s="9">
        <f>EXP(-A26*($B$3-0.0001))</f>
        <v>0.99877575000621621</v>
      </c>
      <c r="O26" s="5">
        <f>N26*C26*B26</f>
        <v>0.62228816755396721</v>
      </c>
    </row>
    <row r="27" spans="1:15" x14ac:dyDescent="0.25">
      <c r="A27">
        <v>0.5</v>
      </c>
      <c r="B27">
        <f t="shared" ref="B27:B44" si="13">100*(EXP($B$2*0.25)-1)</f>
        <v>0.62695720037619918</v>
      </c>
      <c r="C27" s="3">
        <f t="shared" ref="C27:C45" si="14">EXP(-A27*$B$2)</f>
        <v>0.98757780049388144</v>
      </c>
      <c r="D27" s="4">
        <f t="shared" ref="D27:D45" si="15">EXP(-$B$3*A27)</f>
        <v>0.99750312239746008</v>
      </c>
      <c r="E27" s="5">
        <f t="shared" ref="E27:E45" si="16">B27*C27*D27</f>
        <v>0.61762302371070366</v>
      </c>
      <c r="F27" s="3">
        <f t="shared" ref="F27:F44" si="17">100*(EXP(($B$2+0.0001)*0.25)-1)</f>
        <v>0.6294729057523929</v>
      </c>
      <c r="G27" s="4">
        <f t="shared" ref="G27:G45" si="18">EXP(-A27*($B$2+0.0001))</f>
        <v>0.98752842283830844</v>
      </c>
      <c r="H27" s="5">
        <f t="shared" ref="H27:H45" si="19">G27*F27*D27</f>
        <v>0.62007027082467359</v>
      </c>
      <c r="I27" s="3">
        <f t="shared" ref="I27:I44" si="20">100*(EXP(($B$2-0.0001)*0.25)-1)</f>
        <v>0.62444155789185274</v>
      </c>
      <c r="J27" s="4">
        <f t="shared" ref="J27:J45" si="21">EXP(-A27*($B$2-0.0001))</f>
        <v>0.98762718061839894</v>
      </c>
      <c r="K27" s="5">
        <f t="shared" ref="K27:K45" si="22">J27*I27*D27</f>
        <v>0.61517559227425822</v>
      </c>
      <c r="L27" s="3">
        <f t="shared" ref="L27:L45" si="23">EXP(-A27*($B$3+0.0001))</f>
        <v>0.99745324848819839</v>
      </c>
      <c r="M27" s="5">
        <f t="shared" ref="M27:M45" si="24">L27*C27*B27</f>
        <v>0.61759214333153389</v>
      </c>
      <c r="N27" s="9">
        <f t="shared" ref="N27:N45" si="25">EXP(-A27*($B$3-0.0001))</f>
        <v>0.99755299880047965</v>
      </c>
      <c r="O27" s="5">
        <f t="shared" ref="O27:O45" si="26">N27*C27*B27</f>
        <v>0.61765390563393074</v>
      </c>
    </row>
    <row r="28" spans="1:15" x14ac:dyDescent="0.25">
      <c r="A28">
        <v>0.75</v>
      </c>
      <c r="B28">
        <f t="shared" si="13"/>
        <v>0.62695720037619918</v>
      </c>
      <c r="C28" s="3">
        <f t="shared" si="14"/>
        <v>0.98142468774777714</v>
      </c>
      <c r="D28" s="4">
        <f t="shared" si="15"/>
        <v>0.99625702246917103</v>
      </c>
      <c r="E28" s="5">
        <f t="shared" si="16"/>
        <v>0.61300817833509924</v>
      </c>
      <c r="F28" s="3">
        <f t="shared" si="17"/>
        <v>0.6294729057523929</v>
      </c>
      <c r="G28" s="4">
        <f t="shared" si="18"/>
        <v>0.9813510836563839</v>
      </c>
      <c r="H28" s="5">
        <f t="shared" si="19"/>
        <v>0.61542175401661836</v>
      </c>
      <c r="I28" s="3">
        <f t="shared" si="20"/>
        <v>0.62444155789185274</v>
      </c>
      <c r="J28" s="4">
        <f t="shared" si="21"/>
        <v>0.98149829735968408</v>
      </c>
      <c r="K28" s="5">
        <f t="shared" si="22"/>
        <v>0.61059429863883763</v>
      </c>
      <c r="L28" s="3">
        <f t="shared" si="23"/>
        <v>0.99618230599438873</v>
      </c>
      <c r="M28" s="5">
        <f t="shared" si="24"/>
        <v>0.61296220444576655</v>
      </c>
      <c r="N28" s="9">
        <f t="shared" si="25"/>
        <v>0.99633174454789919</v>
      </c>
      <c r="O28" s="5">
        <f t="shared" si="26"/>
        <v>0.61305415567260302</v>
      </c>
    </row>
    <row r="29" spans="1:15" x14ac:dyDescent="0.25">
      <c r="A29">
        <v>1</v>
      </c>
      <c r="B29">
        <f t="shared" si="13"/>
        <v>0.62695720037619918</v>
      </c>
      <c r="C29" s="3">
        <f t="shared" si="14"/>
        <v>0.97530991202833262</v>
      </c>
      <c r="D29" s="4">
        <f t="shared" si="15"/>
        <v>0.99501247919268232</v>
      </c>
      <c r="E29" s="5">
        <f t="shared" si="16"/>
        <v>0.60842781483115949</v>
      </c>
      <c r="F29" s="3">
        <f t="shared" si="17"/>
        <v>0.6294729057523929</v>
      </c>
      <c r="G29" s="4">
        <f t="shared" si="18"/>
        <v>0.97521238591351689</v>
      </c>
      <c r="H29" s="5">
        <f t="shared" si="19"/>
        <v>0.61080808601446701</v>
      </c>
      <c r="I29" s="3">
        <f t="shared" si="20"/>
        <v>0.62444155789185274</v>
      </c>
      <c r="J29" s="4">
        <f t="shared" si="21"/>
        <v>0.97540744789624767</v>
      </c>
      <c r="K29" s="5">
        <f t="shared" si="22"/>
        <v>0.6060471225003361</v>
      </c>
      <c r="L29" s="3">
        <f t="shared" si="23"/>
        <v>0.99491298291965957</v>
      </c>
      <c r="M29" s="5">
        <f t="shared" si="24"/>
        <v>0.60836697509171411</v>
      </c>
      <c r="N29" s="9">
        <f t="shared" si="25"/>
        <v>0.99511198541582979</v>
      </c>
      <c r="O29" s="5">
        <f t="shared" si="26"/>
        <v>0.60848866065488305</v>
      </c>
    </row>
    <row r="30" spans="1:15" x14ac:dyDescent="0.25">
      <c r="A30">
        <v>1.25</v>
      </c>
      <c r="B30">
        <f t="shared" si="13"/>
        <v>0.62695720037619918</v>
      </c>
      <c r="C30" s="3">
        <f t="shared" si="14"/>
        <v>0.96923323447634413</v>
      </c>
      <c r="D30" s="4">
        <f t="shared" si="15"/>
        <v>0.9937694906233947</v>
      </c>
      <c r="E30" s="5">
        <f t="shared" si="16"/>
        <v>0.60388167555222982</v>
      </c>
      <c r="F30" s="3">
        <f t="shared" si="17"/>
        <v>0.6294729057523929</v>
      </c>
      <c r="G30" s="4">
        <f t="shared" si="18"/>
        <v>0.96911208789385372</v>
      </c>
      <c r="H30" s="5">
        <f t="shared" si="19"/>
        <v>0.60622900556515269</v>
      </c>
      <c r="I30" s="3">
        <f t="shared" si="20"/>
        <v>0.62444155789185274</v>
      </c>
      <c r="J30" s="4">
        <f t="shared" si="21"/>
        <v>0.96935439620310382</v>
      </c>
      <c r="K30" s="5">
        <f t="shared" si="22"/>
        <v>0.60153380978126147</v>
      </c>
      <c r="L30" s="3">
        <f t="shared" si="23"/>
        <v>0.9936452772005675</v>
      </c>
      <c r="M30" s="5">
        <f t="shared" si="24"/>
        <v>0.60380619506041477</v>
      </c>
      <c r="N30" s="9">
        <f t="shared" si="25"/>
        <v>0.99389371957387029</v>
      </c>
      <c r="O30" s="5">
        <f t="shared" si="26"/>
        <v>0.60395716547969602</v>
      </c>
    </row>
    <row r="31" spans="1:15" x14ac:dyDescent="0.25">
      <c r="A31">
        <v>1.5</v>
      </c>
      <c r="B31">
        <f t="shared" si="13"/>
        <v>0.62695720037619918</v>
      </c>
      <c r="C31" s="3">
        <f t="shared" si="14"/>
        <v>0.96319441772082182</v>
      </c>
      <c r="D31" s="4">
        <f t="shared" si="15"/>
        <v>0.99252805481913842</v>
      </c>
      <c r="E31" s="5">
        <f t="shared" si="16"/>
        <v>0.59936950477677675</v>
      </c>
      <c r="F31" s="3">
        <f t="shared" si="17"/>
        <v>0.6294729057523929</v>
      </c>
      <c r="G31" s="4">
        <f t="shared" si="18"/>
        <v>0.96304994939355903</v>
      </c>
      <c r="H31" s="5">
        <f t="shared" si="19"/>
        <v>0.60168425337415932</v>
      </c>
      <c r="I31" s="3">
        <f t="shared" si="20"/>
        <v>0.62444155789185274</v>
      </c>
      <c r="J31" s="4">
        <f t="shared" si="21"/>
        <v>0.96333890771995889</v>
      </c>
      <c r="K31" s="5">
        <f t="shared" si="22"/>
        <v>0.59705410829627059</v>
      </c>
      <c r="L31" s="3">
        <f t="shared" si="23"/>
        <v>0.99237918677629788</v>
      </c>
      <c r="M31" s="5">
        <f t="shared" si="24"/>
        <v>0.59927960609362996</v>
      </c>
      <c r="N31" s="9">
        <f t="shared" si="25"/>
        <v>0.99267694519386018</v>
      </c>
      <c r="O31" s="5">
        <f t="shared" si="26"/>
        <v>0.59945941694573723</v>
      </c>
    </row>
    <row r="32" spans="1:15" x14ac:dyDescent="0.25">
      <c r="A32">
        <v>1.75</v>
      </c>
      <c r="B32">
        <f t="shared" si="13"/>
        <v>0.62695720037619918</v>
      </c>
      <c r="C32" s="3">
        <f t="shared" si="14"/>
        <v>0.95719322586971833</v>
      </c>
      <c r="D32" s="4">
        <f t="shared" si="15"/>
        <v>0.99128816984016976</v>
      </c>
      <c r="E32" s="5">
        <f t="shared" si="16"/>
        <v>0.59489104869400444</v>
      </c>
      <c r="F32" s="3">
        <f t="shared" si="17"/>
        <v>0.6294729057523929</v>
      </c>
      <c r="G32" s="4">
        <f t="shared" si="18"/>
        <v>0.95702573171135741</v>
      </c>
      <c r="H32" s="5">
        <f t="shared" si="19"/>
        <v>0.59717357209083954</v>
      </c>
      <c r="I32" s="3">
        <f t="shared" si="20"/>
        <v>0.62444155789185274</v>
      </c>
      <c r="J32" s="4">
        <f t="shared" si="21"/>
        <v>0.95736074934212179</v>
      </c>
      <c r="K32" s="5">
        <f t="shared" si="22"/>
        <v>0.59260776773807777</v>
      </c>
      <c r="L32" s="3">
        <f t="shared" si="23"/>
        <v>0.99111470958866232</v>
      </c>
      <c r="M32" s="5">
        <f t="shared" si="24"/>
        <v>0.59478695186922081</v>
      </c>
      <c r="N32" s="9">
        <f t="shared" si="25"/>
        <v>0.99146166044987738</v>
      </c>
      <c r="O32" s="5">
        <f t="shared" si="26"/>
        <v>0.59499516373732653</v>
      </c>
    </row>
    <row r="33" spans="1:15" x14ac:dyDescent="0.25">
      <c r="A33">
        <v>2</v>
      </c>
      <c r="B33">
        <f t="shared" si="13"/>
        <v>0.62695720037619918</v>
      </c>
      <c r="C33" s="3">
        <f t="shared" si="14"/>
        <v>0.95122942450071402</v>
      </c>
      <c r="D33" s="4">
        <f t="shared" si="15"/>
        <v>0.99004983374916811</v>
      </c>
      <c r="E33" s="5">
        <f t="shared" si="16"/>
        <v>0.59044605538957762</v>
      </c>
      <c r="F33" s="3">
        <f t="shared" si="17"/>
        <v>0.6294729057523929</v>
      </c>
      <c r="G33" s="4">
        <f t="shared" si="18"/>
        <v>0.95103919763913414</v>
      </c>
      <c r="H33" s="5">
        <f t="shared" si="19"/>
        <v>0.59269670629384097</v>
      </c>
      <c r="I33" s="3">
        <f t="shared" si="20"/>
        <v>0.62444155789185274</v>
      </c>
      <c r="J33" s="4">
        <f t="shared" si="21"/>
        <v>0.95141968941147104</v>
      </c>
      <c r="K33" s="5">
        <f t="shared" si="22"/>
        <v>0.58819453966346846</v>
      </c>
      <c r="L33" s="3">
        <f t="shared" si="23"/>
        <v>0.98985184358209488</v>
      </c>
      <c r="M33" s="5">
        <f t="shared" si="24"/>
        <v>0.5903279779866335</v>
      </c>
      <c r="N33" s="9">
        <f t="shared" si="25"/>
        <v>0.99024786351823468</v>
      </c>
      <c r="O33" s="5">
        <f t="shared" si="26"/>
        <v>0.59056415641036386</v>
      </c>
    </row>
    <row r="34" spans="1:15" x14ac:dyDescent="0.25">
      <c r="A34">
        <v>2.25</v>
      </c>
      <c r="B34">
        <f t="shared" si="13"/>
        <v>0.62695720037619918</v>
      </c>
      <c r="C34" s="3">
        <f t="shared" si="14"/>
        <v>0.94530278065205953</v>
      </c>
      <c r="D34" s="4">
        <f t="shared" si="15"/>
        <v>0.98881304461123309</v>
      </c>
      <c r="E34" s="5">
        <f t="shared" si="16"/>
        <v>0.58603427483145076</v>
      </c>
      <c r="F34" s="3">
        <f t="shared" si="17"/>
        <v>0.6294729057523929</v>
      </c>
      <c r="G34" s="4">
        <f t="shared" si="18"/>
        <v>0.94509011145259492</v>
      </c>
      <c r="H34" s="5">
        <f t="shared" si="19"/>
        <v>0.58825340247664348</v>
      </c>
      <c r="I34" s="3">
        <f t="shared" si="20"/>
        <v>0.62444155789185274</v>
      </c>
      <c r="J34" s="4">
        <f t="shared" si="21"/>
        <v>0.94551549770747756</v>
      </c>
      <c r="K34" s="5">
        <f t="shared" si="22"/>
        <v>0.58381417747941755</v>
      </c>
      <c r="L34" s="3">
        <f t="shared" si="23"/>
        <v>0.98859058670364863</v>
      </c>
      <c r="M34" s="5">
        <f t="shared" si="24"/>
        <v>0.5859024319524937</v>
      </c>
      <c r="N34" s="9">
        <f t="shared" si="25"/>
        <v>0.98903555257747811</v>
      </c>
      <c r="O34" s="5">
        <f t="shared" si="26"/>
        <v>0.58616614737839301</v>
      </c>
    </row>
    <row r="35" spans="1:15" x14ac:dyDescent="0.25">
      <c r="A35">
        <v>2.5</v>
      </c>
      <c r="B35">
        <f t="shared" si="13"/>
        <v>0.62695720037619918</v>
      </c>
      <c r="C35" s="3">
        <f t="shared" si="14"/>
        <v>0.93941306281347581</v>
      </c>
      <c r="D35" s="4">
        <f t="shared" si="15"/>
        <v>0.98757780049388144</v>
      </c>
      <c r="E35" s="5">
        <f t="shared" si="16"/>
        <v>0.58165545885580416</v>
      </c>
      <c r="F35" s="3">
        <f t="shared" si="17"/>
        <v>0.6294729057523929</v>
      </c>
      <c r="G35" s="4">
        <f t="shared" si="18"/>
        <v>0.93917823890198437</v>
      </c>
      <c r="H35" s="5">
        <f t="shared" si="19"/>
        <v>0.58384340903320431</v>
      </c>
      <c r="I35" s="3">
        <f t="shared" si="20"/>
        <v>0.62444155789185274</v>
      </c>
      <c r="J35" s="4">
        <f t="shared" si="21"/>
        <v>0.93964794543828389</v>
      </c>
      <c r="K35" s="5">
        <f t="shared" si="22"/>
        <v>0.57946643642931051</v>
      </c>
      <c r="L35" s="3">
        <f t="shared" si="23"/>
        <v>0.98733093690299256</v>
      </c>
      <c r="M35" s="5">
        <f t="shared" si="24"/>
        <v>0.5815100631663086</v>
      </c>
      <c r="N35" s="9">
        <f t="shared" si="25"/>
        <v>0.9878247258083831</v>
      </c>
      <c r="O35" s="5">
        <f t="shared" si="26"/>
        <v>0.58180089089876597</v>
      </c>
    </row>
    <row r="36" spans="1:15" x14ac:dyDescent="0.25">
      <c r="A36">
        <v>2.75</v>
      </c>
      <c r="B36">
        <f t="shared" si="13"/>
        <v>0.62695720037619918</v>
      </c>
      <c r="C36" s="3">
        <f t="shared" si="14"/>
        <v>0.93356004091711098</v>
      </c>
      <c r="D36" s="4">
        <f t="shared" si="15"/>
        <v>0.98634409946704404</v>
      </c>
      <c r="E36" s="5">
        <f t="shared" si="16"/>
        <v>0.57730936115308473</v>
      </c>
      <c r="F36" s="3">
        <f t="shared" si="17"/>
        <v>0.6294729057523929</v>
      </c>
      <c r="G36" s="4">
        <f t="shared" si="18"/>
        <v>0.93330334720286212</v>
      </c>
      <c r="H36" s="5">
        <f t="shared" si="19"/>
        <v>0.57946647624370984</v>
      </c>
      <c r="I36" s="3">
        <f t="shared" si="20"/>
        <v>0.62444155789185274</v>
      </c>
      <c r="J36" s="4">
        <f t="shared" si="21"/>
        <v>0.9338168052318383</v>
      </c>
      <c r="K36" s="5">
        <f t="shared" si="22"/>
        <v>0.57515107357926776</v>
      </c>
      <c r="L36" s="3">
        <f t="shared" si="23"/>
        <v>0.98607289213240823</v>
      </c>
      <c r="M36" s="5">
        <f t="shared" si="24"/>
        <v>0.57715062290627694</v>
      </c>
      <c r="N36" s="9">
        <f t="shared" si="25"/>
        <v>0.98661538139395277</v>
      </c>
      <c r="O36" s="5">
        <f t="shared" si="26"/>
        <v>0.57746814305891325</v>
      </c>
    </row>
    <row r="37" spans="1:15" x14ac:dyDescent="0.25">
      <c r="A37">
        <v>3</v>
      </c>
      <c r="B37">
        <f t="shared" si="13"/>
        <v>0.62695720037619918</v>
      </c>
      <c r="C37" s="3">
        <f t="shared" si="14"/>
        <v>0.92774348632855286</v>
      </c>
      <c r="D37" s="4">
        <f t="shared" si="15"/>
        <v>0.98511193960306265</v>
      </c>
      <c r="E37" s="5">
        <f t="shared" si="16"/>
        <v>0.57299573725415065</v>
      </c>
      <c r="F37" s="3">
        <f t="shared" si="17"/>
        <v>0.6294729057523929</v>
      </c>
      <c r="G37" s="4">
        <f t="shared" si="18"/>
        <v>0.92746520502693663</v>
      </c>
      <c r="H37" s="5">
        <f t="shared" si="19"/>
        <v>0.57512235626043606</v>
      </c>
      <c r="I37" s="3">
        <f t="shared" si="20"/>
        <v>0.62444155789185274</v>
      </c>
      <c r="J37" s="4">
        <f t="shared" si="21"/>
        <v>0.92802185112708346</v>
      </c>
      <c r="K37" s="5">
        <f t="shared" si="22"/>
        <v>0.57086784780457012</v>
      </c>
      <c r="L37" s="3">
        <f t="shared" si="23"/>
        <v>0.98481645034678633</v>
      </c>
      <c r="M37" s="5">
        <f t="shared" si="24"/>
        <v>0.57282386431520427</v>
      </c>
      <c r="N37" s="9">
        <f t="shared" si="25"/>
        <v>0.98540751751941424</v>
      </c>
      <c r="O37" s="5">
        <f t="shared" si="26"/>
        <v>0.57316766176271372</v>
      </c>
    </row>
    <row r="38" spans="1:15" x14ac:dyDescent="0.25">
      <c r="A38">
        <v>3.25</v>
      </c>
      <c r="B38">
        <f t="shared" si="13"/>
        <v>0.62695720037619918</v>
      </c>
      <c r="C38" s="3">
        <f t="shared" si="14"/>
        <v>0.92196317183789833</v>
      </c>
      <c r="D38" s="4">
        <f t="shared" si="15"/>
        <v>0.9838813189766874</v>
      </c>
      <c r="E38" s="5">
        <f t="shared" si="16"/>
        <v>0.56871434451652025</v>
      </c>
      <c r="F38" s="3">
        <f t="shared" si="17"/>
        <v>0.6294729057523929</v>
      </c>
      <c r="G38" s="4">
        <f t="shared" si="18"/>
        <v>0.92166358249295666</v>
      </c>
      <c r="H38" s="5">
        <f t="shared" si="19"/>
        <v>0.57081080309371302</v>
      </c>
      <c r="I38" s="3">
        <f t="shared" si="20"/>
        <v>0.62444155789185274</v>
      </c>
      <c r="J38" s="4">
        <f t="shared" si="21"/>
        <v>0.92226285856520096</v>
      </c>
      <c r="K38" s="5">
        <f t="shared" si="22"/>
        <v>0.56661651977618621</v>
      </c>
      <c r="L38" s="3">
        <f t="shared" si="23"/>
        <v>0.98356160950362348</v>
      </c>
      <c r="M38" s="5">
        <f t="shared" si="24"/>
        <v>0.56852954238652509</v>
      </c>
      <c r="N38" s="9">
        <f t="shared" si="25"/>
        <v>0.98420113237221651</v>
      </c>
      <c r="O38" s="5">
        <f t="shared" si="26"/>
        <v>0.56889920671696848</v>
      </c>
    </row>
    <row r="39" spans="1:15" x14ac:dyDescent="0.25">
      <c r="A39">
        <v>3.5</v>
      </c>
      <c r="B39">
        <f t="shared" si="13"/>
        <v>0.62695720037619918</v>
      </c>
      <c r="C39" s="3">
        <f t="shared" si="14"/>
        <v>0.91621887165087756</v>
      </c>
      <c r="D39" s="4">
        <f t="shared" si="15"/>
        <v>0.9826522356650732</v>
      </c>
      <c r="E39" s="5">
        <f t="shared" si="16"/>
        <v>0.56446494211072318</v>
      </c>
      <c r="F39" s="3">
        <f t="shared" si="17"/>
        <v>0.6294729057523929</v>
      </c>
      <c r="G39" s="4">
        <f t="shared" si="18"/>
        <v>0.9158982511576591</v>
      </c>
      <c r="H39" s="5">
        <f t="shared" si="19"/>
        <v>0.56653157259799569</v>
      </c>
      <c r="I39" s="3">
        <f t="shared" si="20"/>
        <v>0.62444155789185274</v>
      </c>
      <c r="J39" s="4">
        <f t="shared" si="21"/>
        <v>0.91653960438090898</v>
      </c>
      <c r="K39" s="5">
        <f t="shared" si="22"/>
        <v>0.56239685194739908</v>
      </c>
      <c r="L39" s="3">
        <f t="shared" si="23"/>
        <v>0.98230836756301854</v>
      </c>
      <c r="M39" s="5">
        <f t="shared" si="24"/>
        <v>0.5642674139504289</v>
      </c>
      <c r="N39" s="9">
        <f t="shared" si="25"/>
        <v>0.98299622414202781</v>
      </c>
      <c r="O39" s="5">
        <f t="shared" si="26"/>
        <v>0.56466253941797351</v>
      </c>
    </row>
    <row r="40" spans="1:15" x14ac:dyDescent="0.25">
      <c r="A40">
        <v>3.75</v>
      </c>
      <c r="B40">
        <f t="shared" si="13"/>
        <v>0.62695720037619918</v>
      </c>
      <c r="C40" s="3">
        <f t="shared" si="14"/>
        <v>0.91051036138003416</v>
      </c>
      <c r="D40" s="4">
        <f t="shared" si="15"/>
        <v>0.98142468774777714</v>
      </c>
      <c r="E40" s="5">
        <f t="shared" si="16"/>
        <v>0.56024729100675374</v>
      </c>
      <c r="F40" s="3">
        <f t="shared" si="17"/>
        <v>0.6294729057523929</v>
      </c>
      <c r="G40" s="4">
        <f t="shared" si="18"/>
        <v>0.9101689840067746</v>
      </c>
      <c r="H40" s="5">
        <f t="shared" si="19"/>
        <v>0.56228442245803933</v>
      </c>
      <c r="I40" s="3">
        <f t="shared" si="20"/>
        <v>0.62444155789185274</v>
      </c>
      <c r="J40" s="4">
        <f t="shared" si="21"/>
        <v>0.91085186679381469</v>
      </c>
      <c r="K40" s="5">
        <f t="shared" si="22"/>
        <v>0.55820860854053378</v>
      </c>
      <c r="L40" s="3">
        <f t="shared" si="23"/>
        <v>0.98105672248767006</v>
      </c>
      <c r="M40" s="5">
        <f t="shared" si="24"/>
        <v>0.56003723766009028</v>
      </c>
      <c r="N40" s="9">
        <f t="shared" si="25"/>
        <v>0.98179279102073247</v>
      </c>
      <c r="O40" s="5">
        <f t="shared" si="26"/>
        <v>0.56045742313819336</v>
      </c>
    </row>
    <row r="41" spans="1:15" x14ac:dyDescent="0.25">
      <c r="A41">
        <v>4</v>
      </c>
      <c r="B41">
        <f t="shared" si="13"/>
        <v>0.62695720037619918</v>
      </c>
      <c r="C41" s="3">
        <f t="shared" si="14"/>
        <v>0.90483741803595952</v>
      </c>
      <c r="D41" s="4">
        <f t="shared" si="15"/>
        <v>0.98019867330675525</v>
      </c>
      <c r="E41" s="5">
        <f t="shared" si="16"/>
        <v>0.55606115396062494</v>
      </c>
      <c r="F41" s="3">
        <f t="shared" si="17"/>
        <v>0.6294729057523929</v>
      </c>
      <c r="G41" s="4">
        <f t="shared" si="18"/>
        <v>0.90447555544608804</v>
      </c>
      <c r="H41" s="5">
        <f t="shared" si="19"/>
        <v>0.55806911217517807</v>
      </c>
      <c r="I41" s="3">
        <f t="shared" si="20"/>
        <v>0.62444155789185274</v>
      </c>
      <c r="J41" s="4">
        <f t="shared" si="21"/>
        <v>0.90519942539982001</v>
      </c>
      <c r="K41" s="5">
        <f t="shared" si="22"/>
        <v>0.55405155553378249</v>
      </c>
      <c r="L41" s="3">
        <f t="shared" si="23"/>
        <v>0.9798066722428721</v>
      </c>
      <c r="M41" s="5">
        <f t="shared" si="24"/>
        <v>0.55583877397800241</v>
      </c>
      <c r="N41" s="9">
        <f t="shared" si="25"/>
        <v>0.9805908312024284</v>
      </c>
      <c r="O41" s="5">
        <f t="shared" si="26"/>
        <v>0.55628362291303346</v>
      </c>
    </row>
    <row r="42" spans="1:15" x14ac:dyDescent="0.25">
      <c r="A42">
        <v>4.25</v>
      </c>
      <c r="B42">
        <f t="shared" si="13"/>
        <v>0.62695720037619918</v>
      </c>
      <c r="C42" s="3">
        <f t="shared" si="14"/>
        <v>0.89919982001858323</v>
      </c>
      <c r="D42" s="4">
        <f t="shared" si="15"/>
        <v>0.97897419042636002</v>
      </c>
      <c r="E42" s="5">
        <f t="shared" si="16"/>
        <v>0.55190629550102455</v>
      </c>
      <c r="F42" s="3">
        <f t="shared" si="17"/>
        <v>0.6294729057523929</v>
      </c>
      <c r="G42" s="4">
        <f t="shared" si="18"/>
        <v>0.89881774129255565</v>
      </c>
      <c r="H42" s="5">
        <f t="shared" si="19"/>
        <v>0.55388540305370615</v>
      </c>
      <c r="I42" s="3">
        <f t="shared" si="20"/>
        <v>0.62444155789185274</v>
      </c>
      <c r="J42" s="4">
        <f t="shared" si="21"/>
        <v>0.89958206116258066</v>
      </c>
      <c r="K42" s="5">
        <f t="shared" si="22"/>
        <v>0.54992546064812908</v>
      </c>
      <c r="L42" s="3">
        <f t="shared" si="23"/>
        <v>0.97855821479651139</v>
      </c>
      <c r="M42" s="5">
        <f t="shared" si="24"/>
        <v>0.55167178516241344</v>
      </c>
      <c r="N42" s="9">
        <f t="shared" si="25"/>
        <v>0.9793903428834243</v>
      </c>
      <c r="O42" s="5">
        <f t="shared" si="26"/>
        <v>0.55214090552771178</v>
      </c>
    </row>
    <row r="43" spans="1:15" x14ac:dyDescent="0.25">
      <c r="A43">
        <v>4.5</v>
      </c>
      <c r="B43">
        <f t="shared" si="13"/>
        <v>0.62695720037619918</v>
      </c>
      <c r="C43" s="3">
        <f t="shared" si="14"/>
        <v>0.89359734710851568</v>
      </c>
      <c r="D43" s="4">
        <f t="shared" si="15"/>
        <v>0.97775123719333634</v>
      </c>
      <c r="E43" s="5">
        <f t="shared" si="16"/>
        <v>0.54778248191606849</v>
      </c>
      <c r="F43" s="3">
        <f t="shared" si="17"/>
        <v>0.6294729057523929</v>
      </c>
      <c r="G43" s="4">
        <f t="shared" si="18"/>
        <v>0.8931953187654782</v>
      </c>
      <c r="H43" s="5">
        <f t="shared" si="19"/>
        <v>0.54973305818736162</v>
      </c>
      <c r="I43" s="3">
        <f t="shared" si="20"/>
        <v>0.62444155789185274</v>
      </c>
      <c r="J43" s="4">
        <f t="shared" si="21"/>
        <v>0.89399955640501894</v>
      </c>
      <c r="K43" s="5">
        <f t="shared" si="22"/>
        <v>0.54583009333436894</v>
      </c>
      <c r="L43" s="3">
        <f t="shared" si="23"/>
        <v>0.97731134811906417</v>
      </c>
      <c r="M43" s="5">
        <f t="shared" si="24"/>
        <v>0.54753603525386407</v>
      </c>
      <c r="N43" s="9">
        <f t="shared" si="25"/>
        <v>0.97819132426223743</v>
      </c>
      <c r="O43" s="5">
        <f t="shared" si="26"/>
        <v>0.54802903950422743</v>
      </c>
    </row>
    <row r="44" spans="1:15" x14ac:dyDescent="0.25">
      <c r="A44">
        <v>4.75</v>
      </c>
      <c r="B44">
        <f t="shared" si="13"/>
        <v>0.62695720037619918</v>
      </c>
      <c r="C44" s="3">
        <f t="shared" si="14"/>
        <v>0.88802978045844649</v>
      </c>
      <c r="D44" s="4">
        <f t="shared" si="15"/>
        <v>0.97652981169681974</v>
      </c>
      <c r="E44" s="5">
        <f t="shared" si="16"/>
        <v>0.54368948124015537</v>
      </c>
      <c r="F44" s="3">
        <f t="shared" si="17"/>
        <v>0.6294729057523929</v>
      </c>
      <c r="G44" s="4">
        <f t="shared" si="18"/>
        <v>0.88760806647772827</v>
      </c>
      <c r="H44" s="5">
        <f t="shared" si="19"/>
        <v>0.5456118424459121</v>
      </c>
      <c r="I44" s="3">
        <f t="shared" si="20"/>
        <v>0.62444155789185274</v>
      </c>
      <c r="J44" s="4">
        <f t="shared" si="21"/>
        <v>0.8884516948008877</v>
      </c>
      <c r="K44" s="5">
        <f t="shared" si="22"/>
        <v>0.54176522476022881</v>
      </c>
      <c r="L44" s="3">
        <f t="shared" si="23"/>
        <v>0.97606607018359248</v>
      </c>
      <c r="M44" s="5">
        <f t="shared" si="24"/>
        <v>0.54343129006182567</v>
      </c>
      <c r="N44" s="9">
        <f t="shared" si="25"/>
        <v>0.97699377353958994</v>
      </c>
      <c r="O44" s="5">
        <f t="shared" si="26"/>
        <v>0.54394779508842661</v>
      </c>
    </row>
    <row r="45" spans="1:15" x14ac:dyDescent="0.25">
      <c r="A45">
        <v>5</v>
      </c>
      <c r="B45">
        <f>100*(EXP($B$2*0.25)-1)+100</f>
        <v>100.6269572003762</v>
      </c>
      <c r="C45" s="3">
        <f t="shared" si="14"/>
        <v>0.88249690258459546</v>
      </c>
      <c r="D45" s="4">
        <f t="shared" si="15"/>
        <v>0.97530991202833262</v>
      </c>
      <c r="E45" s="5">
        <f t="shared" si="16"/>
        <v>86.610424705746695</v>
      </c>
      <c r="F45" s="3">
        <f>100*(EXP(($B$2+0.0001)*0.25)-1)+100</f>
        <v>100.62947290575239</v>
      </c>
      <c r="G45" s="4">
        <f t="shared" si="18"/>
        <v>0.88205576442703293</v>
      </c>
      <c r="H45" s="5">
        <f t="shared" si="19"/>
        <v>86.569294523203155</v>
      </c>
      <c r="I45" s="3">
        <f>100*(EXP(($B$2-0.0001)*0.25)-1)+100</f>
        <v>100.62444155789186</v>
      </c>
      <c r="J45" s="4">
        <f t="shared" si="21"/>
        <v>0.8829382613663882</v>
      </c>
      <c r="K45" s="5">
        <f t="shared" si="22"/>
        <v>86.651574429767678</v>
      </c>
      <c r="L45" s="3">
        <f t="shared" si="23"/>
        <v>0.97482237896574109</v>
      </c>
      <c r="M45" s="5">
        <f t="shared" si="24"/>
        <v>86.567130317892762</v>
      </c>
      <c r="N45" s="9">
        <f t="shared" si="25"/>
        <v>0.97579768891840735</v>
      </c>
      <c r="O45" s="5">
        <f t="shared" si="26"/>
        <v>86.653740746207276</v>
      </c>
    </row>
    <row r="46" spans="1:15" ht="15.75" thickBot="1" x14ac:dyDescent="0.3">
      <c r="C46" s="6"/>
      <c r="D46" s="28" t="s">
        <v>99</v>
      </c>
      <c r="E46" s="32">
        <f>SUM(E26:E45)</f>
        <v>97.671205439926851</v>
      </c>
      <c r="F46" s="6"/>
      <c r="G46" s="7"/>
      <c r="H46" s="32">
        <f>SUM(H26:H45)</f>
        <v>97.671743929073855</v>
      </c>
      <c r="I46" s="6"/>
      <c r="J46" s="7"/>
      <c r="K46" s="32">
        <f>SUM(K26:K45)</f>
        <v>97.67066677788381</v>
      </c>
      <c r="L46" s="6"/>
      <c r="M46" s="32">
        <f>SUM(M26:M45)</f>
        <v>97.625208486488546</v>
      </c>
      <c r="N46" s="6"/>
      <c r="O46" s="32">
        <f>SUM(O26:O45)</f>
        <v>97.717224913701102</v>
      </c>
    </row>
    <row r="47" spans="1:15" ht="15.75" thickBot="1" x14ac:dyDescent="0.3">
      <c r="H47" s="13" t="s">
        <v>83</v>
      </c>
      <c r="I47" s="1">
        <f>-((H46-K46)/(0.0001*2))/E46</f>
        <v>-5.5141696326678279E-2</v>
      </c>
      <c r="L47" s="58" t="s">
        <v>86</v>
      </c>
      <c r="M47" s="58"/>
      <c r="N47" s="1">
        <f>-((M46-O46)/(0.0001*2))/E46</f>
        <v>4.7105196868462551</v>
      </c>
    </row>
    <row r="49" spans="1:14" x14ac:dyDescent="0.25">
      <c r="A49" s="2" t="s">
        <v>114</v>
      </c>
    </row>
    <row r="50" spans="1:14" x14ac:dyDescent="0.25">
      <c r="A50" t="s">
        <v>100</v>
      </c>
    </row>
    <row r="51" spans="1:14" ht="15.75" thickBot="1" x14ac:dyDescent="0.3">
      <c r="A51" s="13" t="s">
        <v>101</v>
      </c>
      <c r="B51" s="19">
        <f>E20-E46</f>
        <v>-1.0454065382674571E-2</v>
      </c>
    </row>
    <row r="52" spans="1:14" ht="15.75" thickBot="1" x14ac:dyDescent="0.3">
      <c r="A52" s="13" t="s">
        <v>102</v>
      </c>
      <c r="B52" s="19">
        <f>(E20*H21-E46*I47)/(100)</f>
        <v>4.6689527863620128</v>
      </c>
    </row>
    <row r="53" spans="1:14" ht="15.75" thickBot="1" x14ac:dyDescent="0.3">
      <c r="A53" s="13" t="s">
        <v>103</v>
      </c>
      <c r="B53" s="19">
        <f>(E20*L21-E46*N47)/(100)</f>
        <v>1.4273866231917509E-2</v>
      </c>
    </row>
    <row r="55" spans="1:14" x14ac:dyDescent="0.25">
      <c r="A55" s="36" t="s">
        <v>125</v>
      </c>
    </row>
    <row r="56" spans="1:14" ht="18" thickBot="1" x14ac:dyDescent="0.35">
      <c r="A56" s="66" t="s">
        <v>126</v>
      </c>
      <c r="B56" s="66"/>
      <c r="C56" s="66"/>
      <c r="D56" s="66"/>
    </row>
    <row r="57" spans="1:14" ht="15.75" thickBot="1" x14ac:dyDescent="0.3">
      <c r="A57" s="43"/>
      <c r="B57" s="59" t="s">
        <v>127</v>
      </c>
      <c r="C57" s="59"/>
      <c r="D57" s="59"/>
      <c r="E57" s="59"/>
      <c r="F57" s="59"/>
      <c r="G57" s="59"/>
      <c r="H57" s="59" t="s">
        <v>129</v>
      </c>
      <c r="I57" s="59"/>
      <c r="J57" s="59"/>
      <c r="K57" s="59"/>
      <c r="L57" s="59"/>
      <c r="M57" s="60"/>
    </row>
    <row r="58" spans="1:14" ht="15.75" thickBot="1" x14ac:dyDescent="0.3">
      <c r="A58" s="44"/>
      <c r="B58" s="61" t="s">
        <v>112</v>
      </c>
      <c r="C58" s="62"/>
      <c r="D58" s="63"/>
      <c r="E58" s="61" t="s">
        <v>128</v>
      </c>
      <c r="F58" s="62"/>
      <c r="G58" s="63"/>
      <c r="H58" s="61" t="s">
        <v>112</v>
      </c>
      <c r="I58" s="62"/>
      <c r="J58" s="63"/>
      <c r="K58" s="61" t="s">
        <v>128</v>
      </c>
      <c r="L58" s="62"/>
      <c r="M58" s="63"/>
    </row>
    <row r="59" spans="1:14" x14ac:dyDescent="0.25">
      <c r="A59" s="44"/>
      <c r="B59" s="23" t="s">
        <v>104</v>
      </c>
      <c r="C59" s="25" t="s">
        <v>105</v>
      </c>
      <c r="D59" s="42" t="s">
        <v>109</v>
      </c>
      <c r="E59" s="23" t="s">
        <v>104</v>
      </c>
      <c r="F59" s="25" t="s">
        <v>105</v>
      </c>
      <c r="G59" s="42" t="s">
        <v>109</v>
      </c>
      <c r="H59" s="23" t="s">
        <v>104</v>
      </c>
      <c r="I59" s="25" t="s">
        <v>105</v>
      </c>
      <c r="J59" s="42" t="s">
        <v>109</v>
      </c>
      <c r="K59" s="23" t="s">
        <v>104</v>
      </c>
      <c r="L59" s="25" t="s">
        <v>105</v>
      </c>
      <c r="M59" s="42" t="s">
        <v>109</v>
      </c>
    </row>
    <row r="60" spans="1:14" x14ac:dyDescent="0.25">
      <c r="A60" s="44" t="s">
        <v>14</v>
      </c>
      <c r="B60" s="3">
        <f>E20</f>
        <v>97.660751374544176</v>
      </c>
      <c r="C60" s="4">
        <f>E46</f>
        <v>97.671205439926851</v>
      </c>
      <c r="D60" s="67">
        <f>B60-C60</f>
        <v>-1.0454065382674571E-2</v>
      </c>
      <c r="E60" s="3">
        <f>E86</f>
        <v>99.996775702366193</v>
      </c>
      <c r="F60" s="4">
        <v>100</v>
      </c>
      <c r="G60" s="67">
        <f>E60-F60</f>
        <v>-3.2242976338068274E-3</v>
      </c>
      <c r="H60" s="3">
        <f>E112</f>
        <v>116.02495241715772</v>
      </c>
      <c r="I60" s="4">
        <f>E46</f>
        <v>97.671205439926851</v>
      </c>
      <c r="J60" s="67">
        <f>H60-I60</f>
        <v>18.35374697723087</v>
      </c>
      <c r="K60" s="3">
        <f>E135</f>
        <v>118.60995084907316</v>
      </c>
      <c r="L60" s="4">
        <v>100</v>
      </c>
      <c r="M60" s="68">
        <f>K60-L60</f>
        <v>18.609950849073158</v>
      </c>
    </row>
    <row r="61" spans="1:14" ht="15.75" thickBot="1" x14ac:dyDescent="0.3">
      <c r="A61" s="45" t="s">
        <v>120</v>
      </c>
      <c r="B61" s="6">
        <f>H21</f>
        <v>4.7256396883125689</v>
      </c>
      <c r="C61" s="7">
        <f>I47</f>
        <v>-5.5141696326678279E-2</v>
      </c>
      <c r="D61" s="69">
        <f>(B60*B61-C60*C61)/(100)</f>
        <v>4.6689527863620128</v>
      </c>
      <c r="E61" s="6">
        <f>H87</f>
        <v>4.7296265524765548</v>
      </c>
      <c r="F61" s="7">
        <v>0</v>
      </c>
      <c r="G61" s="69">
        <f>(E60*E61-F60*F61)/(100)</f>
        <v>4.7294740552395353</v>
      </c>
      <c r="H61" s="6">
        <f>H113</f>
        <v>4.4031495916696199</v>
      </c>
      <c r="I61" s="7">
        <f>I47</f>
        <v>-5.5141696326678279E-2</v>
      </c>
      <c r="J61" s="69">
        <f>(H60*H61-I60*I61)/(100)</f>
        <v>5.1626097780932421</v>
      </c>
      <c r="K61" s="6">
        <f>H136</f>
        <v>4.4108790624911247</v>
      </c>
      <c r="L61" s="7">
        <v>0</v>
      </c>
      <c r="M61" s="32">
        <f>(K60*K61-L60*L61)/(100)</f>
        <v>5.2317414880327817</v>
      </c>
    </row>
    <row r="62" spans="1:14" x14ac:dyDescent="0.25">
      <c r="A62" s="36"/>
    </row>
    <row r="63" spans="1:14" x14ac:dyDescent="0.25">
      <c r="A63" s="36" t="s">
        <v>130</v>
      </c>
    </row>
    <row r="64" spans="1:14" s="70" customFormat="1" x14ac:dyDescent="0.25">
      <c r="A64" s="71" t="s">
        <v>149</v>
      </c>
      <c r="B64" s="71"/>
      <c r="C64" s="71"/>
      <c r="D64" s="71"/>
      <c r="E64" s="71"/>
      <c r="F64" s="71"/>
      <c r="G64" s="71"/>
      <c r="H64" s="71"/>
      <c r="I64" s="71"/>
      <c r="J64" s="71"/>
      <c r="K64" s="71"/>
      <c r="L64" s="72"/>
      <c r="M64" s="72"/>
      <c r="N64" s="72"/>
    </row>
    <row r="65" spans="1:14" s="70" customFormat="1" x14ac:dyDescent="0.25">
      <c r="A65" s="71" t="s">
        <v>150</v>
      </c>
      <c r="B65" s="71"/>
      <c r="C65" s="71"/>
      <c r="D65" s="71"/>
      <c r="E65" s="71"/>
      <c r="F65" s="71"/>
      <c r="G65" s="71"/>
      <c r="H65" s="71"/>
      <c r="I65" s="71"/>
      <c r="J65" s="71"/>
      <c r="K65" s="71"/>
      <c r="L65" s="72"/>
      <c r="M65" s="72"/>
      <c r="N65" s="72"/>
    </row>
    <row r="66" spans="1:14" s="70" customFormat="1" x14ac:dyDescent="0.25">
      <c r="A66" s="64" t="s">
        <v>151</v>
      </c>
      <c r="B66" s="64"/>
      <c r="C66" s="64"/>
      <c r="D66" s="64"/>
      <c r="E66" s="64"/>
      <c r="F66" s="64"/>
      <c r="G66" s="64"/>
      <c r="H66" s="64"/>
      <c r="I66" s="64"/>
      <c r="J66" s="64"/>
      <c r="K66" s="64"/>
    </row>
    <row r="67" spans="1:14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</row>
    <row r="69" spans="1:14" x14ac:dyDescent="0.25">
      <c r="A69" s="2" t="s">
        <v>131</v>
      </c>
    </row>
    <row r="71" spans="1:14" x14ac:dyDescent="0.25">
      <c r="A71" s="20" t="s">
        <v>110</v>
      </c>
      <c r="B71" s="20"/>
      <c r="C71" s="20"/>
      <c r="D71" s="20"/>
    </row>
    <row r="72" spans="1:14" x14ac:dyDescent="0.25">
      <c r="A72" s="20"/>
      <c r="B72" s="20"/>
      <c r="C72" s="20"/>
      <c r="D72" s="20"/>
    </row>
    <row r="73" spans="1:14" ht="15.75" thickBot="1" x14ac:dyDescent="0.3">
      <c r="A73" s="37" t="s">
        <v>123</v>
      </c>
      <c r="B73" s="20"/>
      <c r="C73" s="20"/>
      <c r="D73" s="20"/>
    </row>
    <row r="74" spans="1:14" x14ac:dyDescent="0.25">
      <c r="C74" s="55" t="s">
        <v>80</v>
      </c>
      <c r="D74" s="56"/>
      <c r="E74" s="57"/>
      <c r="F74" s="56" t="s">
        <v>81</v>
      </c>
      <c r="G74" s="57"/>
      <c r="H74" s="55" t="s">
        <v>82</v>
      </c>
      <c r="I74" s="57"/>
    </row>
    <row r="75" spans="1:14" ht="15.75" thickBot="1" x14ac:dyDescent="0.3">
      <c r="A75" s="17" t="s">
        <v>38</v>
      </c>
      <c r="B75" s="17" t="s">
        <v>78</v>
      </c>
      <c r="C75" s="29" t="s">
        <v>40</v>
      </c>
      <c r="D75" s="30" t="s">
        <v>98</v>
      </c>
      <c r="E75" s="31" t="s">
        <v>24</v>
      </c>
      <c r="F75" s="25" t="s">
        <v>40</v>
      </c>
      <c r="G75" s="26" t="s">
        <v>24</v>
      </c>
      <c r="H75" s="27" t="s">
        <v>40</v>
      </c>
      <c r="I75" s="24" t="s">
        <v>24</v>
      </c>
    </row>
    <row r="76" spans="1:14" x14ac:dyDescent="0.25">
      <c r="A76">
        <v>0.5</v>
      </c>
      <c r="B76">
        <f>$B$7*100/2</f>
        <v>1.2575000000000001</v>
      </c>
      <c r="C76" s="3">
        <f>EXP(-A76*$B$2)</f>
        <v>0.98757780049388144</v>
      </c>
      <c r="D76" s="4">
        <v>1</v>
      </c>
      <c r="E76" s="5">
        <f>B76*C76*D76</f>
        <v>1.2418790841210561</v>
      </c>
      <c r="F76" s="4">
        <f>EXP(-A76*($B$2+0.0001))</f>
        <v>0.98752842283830844</v>
      </c>
      <c r="G76" s="5">
        <f>F76*D76*B76</f>
        <v>1.2418169917191728</v>
      </c>
      <c r="H76" s="3">
        <f>EXP(-A76*($B$2-0.0001))</f>
        <v>0.98762718061839894</v>
      </c>
      <c r="I76" s="5">
        <f>H76*D76*B76</f>
        <v>1.2419411796276367</v>
      </c>
    </row>
    <row r="77" spans="1:14" x14ac:dyDescent="0.25">
      <c r="A77">
        <f>A76+0.5</f>
        <v>1</v>
      </c>
      <c r="B77">
        <f t="shared" ref="B77:B84" si="27">$B$7*100/2</f>
        <v>1.2575000000000001</v>
      </c>
      <c r="C77" s="3">
        <f t="shared" ref="C77:C85" si="28">EXP(-A77*$B$2)</f>
        <v>0.97530991202833262</v>
      </c>
      <c r="D77" s="4">
        <v>1</v>
      </c>
      <c r="E77" s="5">
        <f t="shared" ref="E77:E85" si="29">B77*C77*D77</f>
        <v>1.2264522143756282</v>
      </c>
      <c r="F77" s="4">
        <f t="shared" ref="F77:F85" si="30">EXP(-A77*($B$2+0.0001))</f>
        <v>0.97521238591351689</v>
      </c>
      <c r="G77" s="5">
        <f t="shared" ref="G77:G85" si="31">F77*D77*B77</f>
        <v>1.2263295752862475</v>
      </c>
      <c r="H77" s="3">
        <f t="shared" ref="H77:H85" si="32">EXP(-A77*($B$2-0.0001))</f>
        <v>0.97540744789624767</v>
      </c>
      <c r="I77" s="5">
        <f t="shared" ref="I77:I85" si="33">H77*D77*B77</f>
        <v>1.2265748657295314</v>
      </c>
    </row>
    <row r="78" spans="1:14" x14ac:dyDescent="0.25">
      <c r="A78">
        <f t="shared" ref="A78:A85" si="34">A77+0.5</f>
        <v>1.5</v>
      </c>
      <c r="B78">
        <f t="shared" si="27"/>
        <v>1.2575000000000001</v>
      </c>
      <c r="C78" s="3">
        <f t="shared" si="28"/>
        <v>0.96319441772082182</v>
      </c>
      <c r="D78" s="4">
        <v>1</v>
      </c>
      <c r="E78" s="5">
        <f t="shared" si="29"/>
        <v>1.2112169802839334</v>
      </c>
      <c r="F78" s="4">
        <f t="shared" si="30"/>
        <v>0.96304994939355903</v>
      </c>
      <c r="G78" s="5">
        <f t="shared" si="31"/>
        <v>1.2110353113624006</v>
      </c>
      <c r="H78" s="3">
        <f t="shared" si="32"/>
        <v>0.96333890771995889</v>
      </c>
      <c r="I78" s="5">
        <f t="shared" si="33"/>
        <v>1.2113986764578484</v>
      </c>
    </row>
    <row r="79" spans="1:14" x14ac:dyDescent="0.25">
      <c r="A79">
        <f t="shared" si="34"/>
        <v>2</v>
      </c>
      <c r="B79">
        <f t="shared" si="27"/>
        <v>1.2575000000000001</v>
      </c>
      <c r="C79" s="3">
        <f t="shared" si="28"/>
        <v>0.95122942450071402</v>
      </c>
      <c r="D79" s="4">
        <v>1</v>
      </c>
      <c r="E79" s="5">
        <f t="shared" si="29"/>
        <v>1.196171001309648</v>
      </c>
      <c r="F79" s="4">
        <f t="shared" si="30"/>
        <v>0.95103919763913414</v>
      </c>
      <c r="G79" s="5">
        <f t="shared" si="31"/>
        <v>1.1959317910312113</v>
      </c>
      <c r="H79" s="3">
        <f t="shared" si="32"/>
        <v>0.95141968941147104</v>
      </c>
      <c r="I79" s="5">
        <f t="shared" si="33"/>
        <v>1.1964102594349248</v>
      </c>
    </row>
    <row r="80" spans="1:14" x14ac:dyDescent="0.25">
      <c r="A80">
        <f t="shared" si="34"/>
        <v>2.5</v>
      </c>
      <c r="B80">
        <f t="shared" si="27"/>
        <v>1.2575000000000001</v>
      </c>
      <c r="C80" s="3">
        <f t="shared" si="28"/>
        <v>0.93941306281347581</v>
      </c>
      <c r="D80" s="4">
        <v>1</v>
      </c>
      <c r="E80" s="5">
        <f t="shared" si="29"/>
        <v>1.1813119264879459</v>
      </c>
      <c r="F80" s="4">
        <f t="shared" si="30"/>
        <v>0.93917823890198437</v>
      </c>
      <c r="G80" s="5">
        <f t="shared" si="31"/>
        <v>1.1810166354192455</v>
      </c>
      <c r="H80" s="3">
        <f t="shared" si="32"/>
        <v>0.93964794543828389</v>
      </c>
      <c r="I80" s="5">
        <f t="shared" si="33"/>
        <v>1.181607291388642</v>
      </c>
    </row>
    <row r="81" spans="1:11" x14ac:dyDescent="0.25">
      <c r="A81">
        <f t="shared" si="34"/>
        <v>3</v>
      </c>
      <c r="B81">
        <f t="shared" si="27"/>
        <v>1.2575000000000001</v>
      </c>
      <c r="C81" s="3">
        <f t="shared" si="28"/>
        <v>0.92774348632855286</v>
      </c>
      <c r="D81" s="4">
        <v>1</v>
      </c>
      <c r="E81" s="5">
        <f t="shared" si="29"/>
        <v>1.1666374340581553</v>
      </c>
      <c r="F81" s="4">
        <f t="shared" si="30"/>
        <v>0.92746520502693663</v>
      </c>
      <c r="G81" s="5">
        <f t="shared" si="31"/>
        <v>1.1662874953213729</v>
      </c>
      <c r="H81" s="3">
        <f t="shared" si="32"/>
        <v>0.92802185112708346</v>
      </c>
      <c r="I81" s="5">
        <f t="shared" si="33"/>
        <v>1.1669874777923075</v>
      </c>
    </row>
    <row r="82" spans="1:11" x14ac:dyDescent="0.25">
      <c r="A82">
        <f t="shared" si="34"/>
        <v>3.5</v>
      </c>
      <c r="B82">
        <f t="shared" si="27"/>
        <v>1.2575000000000001</v>
      </c>
      <c r="C82" s="3">
        <f t="shared" si="28"/>
        <v>0.91621887165087756</v>
      </c>
      <c r="D82" s="4">
        <v>1</v>
      </c>
      <c r="E82" s="5">
        <f t="shared" si="29"/>
        <v>1.1521452311009786</v>
      </c>
      <c r="F82" s="4">
        <f t="shared" si="30"/>
        <v>0.9158982511576591</v>
      </c>
      <c r="G82" s="5">
        <f t="shared" si="31"/>
        <v>1.1517420508307563</v>
      </c>
      <c r="H82" s="3">
        <f t="shared" si="32"/>
        <v>0.91653960438090898</v>
      </c>
      <c r="I82" s="5">
        <f t="shared" si="33"/>
        <v>1.1525485525089931</v>
      </c>
    </row>
    <row r="83" spans="1:11" x14ac:dyDescent="0.25">
      <c r="A83">
        <f t="shared" si="34"/>
        <v>4</v>
      </c>
      <c r="B83">
        <f t="shared" si="27"/>
        <v>1.2575000000000001</v>
      </c>
      <c r="C83" s="3">
        <f t="shared" si="28"/>
        <v>0.90483741803595952</v>
      </c>
      <c r="D83" s="4">
        <v>1</v>
      </c>
      <c r="E83" s="5">
        <f t="shared" si="29"/>
        <v>1.1378330531802192</v>
      </c>
      <c r="F83" s="4">
        <f t="shared" si="30"/>
        <v>0.90447555544608804</v>
      </c>
      <c r="G83" s="5">
        <f t="shared" si="31"/>
        <v>1.1373780109734557</v>
      </c>
      <c r="H83" s="3">
        <f t="shared" si="32"/>
        <v>0.90519942539982001</v>
      </c>
      <c r="I83" s="5">
        <f t="shared" si="33"/>
        <v>1.1382882774402738</v>
      </c>
    </row>
    <row r="84" spans="1:11" x14ac:dyDescent="0.25">
      <c r="A84">
        <f>A83+0.5</f>
        <v>4.5</v>
      </c>
      <c r="B84">
        <f t="shared" si="27"/>
        <v>1.2575000000000001</v>
      </c>
      <c r="C84" s="3">
        <f t="shared" si="28"/>
        <v>0.89359734710851568</v>
      </c>
      <c r="D84" s="4">
        <v>1</v>
      </c>
      <c r="E84" s="5">
        <f t="shared" si="29"/>
        <v>1.1236986639889586</v>
      </c>
      <c r="F84" s="4">
        <f t="shared" si="30"/>
        <v>0.8931953187654782</v>
      </c>
      <c r="G84" s="5">
        <f t="shared" si="31"/>
        <v>1.123193113347589</v>
      </c>
      <c r="H84" s="3">
        <f t="shared" si="32"/>
        <v>0.89399955640501894</v>
      </c>
      <c r="I84" s="5">
        <f t="shared" si="33"/>
        <v>1.1242044421793114</v>
      </c>
    </row>
    <row r="85" spans="1:11" ht="15.75" thickBot="1" x14ac:dyDescent="0.3">
      <c r="A85">
        <f t="shared" si="34"/>
        <v>5</v>
      </c>
      <c r="B85">
        <f>$B$7*100/2+100</f>
        <v>101.25749999999999</v>
      </c>
      <c r="C85" s="3">
        <f t="shared" si="28"/>
        <v>0.88249690258459546</v>
      </c>
      <c r="D85" s="4">
        <v>1</v>
      </c>
      <c r="E85" s="5">
        <f t="shared" si="29"/>
        <v>89.359430113459666</v>
      </c>
      <c r="F85" s="7">
        <f t="shared" si="30"/>
        <v>0.88205576442703293</v>
      </c>
      <c r="G85" s="8">
        <f t="shared" si="31"/>
        <v>89.314761566470281</v>
      </c>
      <c r="H85" s="6">
        <f t="shared" si="32"/>
        <v>0.8829382613663882</v>
      </c>
      <c r="I85" s="8">
        <f t="shared" si="33"/>
        <v>89.404121000307043</v>
      </c>
    </row>
    <row r="86" spans="1:11" ht="15.75" thickBot="1" x14ac:dyDescent="0.3">
      <c r="C86" s="6"/>
      <c r="D86" s="28" t="s">
        <v>99</v>
      </c>
      <c r="E86" s="32">
        <f>SUM(E76:E85)</f>
        <v>99.996775702366193</v>
      </c>
      <c r="G86" s="19">
        <f>SUM(G76:G85)</f>
        <v>99.949492541761728</v>
      </c>
      <c r="I86" s="19">
        <f>SUM(I76:I85)</f>
        <v>100.04408202286652</v>
      </c>
    </row>
    <row r="87" spans="1:11" ht="15.75" thickBot="1" x14ac:dyDescent="0.3">
      <c r="G87" s="13" t="s">
        <v>83</v>
      </c>
      <c r="H87" s="1">
        <f>-((G86-I86)/(0.0001*2))/E86</f>
        <v>4.7296265524765548</v>
      </c>
    </row>
    <row r="88" spans="1:11" x14ac:dyDescent="0.25">
      <c r="A88" s="2" t="s">
        <v>105</v>
      </c>
    </row>
    <row r="89" spans="1:11" ht="15.75" thickBot="1" x14ac:dyDescent="0.3">
      <c r="A89" s="13" t="s">
        <v>101</v>
      </c>
      <c r="B89" s="19">
        <v>100</v>
      </c>
      <c r="C89" s="38"/>
      <c r="D89" s="38"/>
      <c r="E89" s="38"/>
      <c r="F89" s="38"/>
      <c r="G89" s="38"/>
      <c r="H89" s="38"/>
      <c r="I89" s="38"/>
      <c r="J89" s="38"/>
      <c r="K89" s="38"/>
    </row>
    <row r="90" spans="1:11" ht="15.75" thickBot="1" x14ac:dyDescent="0.3">
      <c r="A90" s="13" t="s">
        <v>108</v>
      </c>
      <c r="B90" s="19">
        <v>0</v>
      </c>
      <c r="C90" s="38"/>
      <c r="D90" s="38"/>
      <c r="E90" s="38"/>
      <c r="F90" s="38"/>
      <c r="G90" s="38"/>
      <c r="H90" s="38"/>
      <c r="I90" s="38"/>
      <c r="J90" s="38"/>
      <c r="K90" s="38"/>
    </row>
    <row r="91" spans="1:11" x14ac:dyDescent="0.25">
      <c r="A91" s="38" t="s">
        <v>115</v>
      </c>
      <c r="B91" s="38"/>
      <c r="C91" s="38"/>
      <c r="D91" s="38"/>
      <c r="E91" s="38"/>
      <c r="F91" s="38"/>
      <c r="G91" s="38"/>
      <c r="H91" s="38"/>
      <c r="I91" s="38"/>
      <c r="J91" s="38"/>
      <c r="K91" s="38"/>
    </row>
    <row r="92" spans="1:11" ht="15.75" thickBot="1" x14ac:dyDescent="0.3">
      <c r="A92" s="13" t="s">
        <v>106</v>
      </c>
      <c r="B92" s="19">
        <f>E86-100</f>
        <v>-3.2242976338068274E-3</v>
      </c>
      <c r="C92" s="38"/>
      <c r="D92" s="38"/>
      <c r="E92" s="38"/>
      <c r="F92" s="38"/>
      <c r="G92" s="38"/>
      <c r="H92" s="38"/>
      <c r="I92" s="38"/>
      <c r="J92" s="38"/>
      <c r="K92" s="38"/>
    </row>
    <row r="93" spans="1:11" ht="15.75" thickBot="1" x14ac:dyDescent="0.3">
      <c r="A93" s="13" t="s">
        <v>107</v>
      </c>
      <c r="B93" s="19">
        <f>H87*E86/(100)</f>
        <v>4.7294740552395353</v>
      </c>
      <c r="C93" s="38"/>
      <c r="D93" s="38"/>
      <c r="E93" s="38"/>
      <c r="F93" s="38"/>
      <c r="G93" s="38"/>
      <c r="H93" s="38"/>
      <c r="I93" s="38"/>
      <c r="J93" s="38"/>
      <c r="K93" s="38"/>
    </row>
    <row r="94" spans="1:11" x14ac:dyDescent="0.25">
      <c r="A94" s="38"/>
      <c r="B94" s="38"/>
      <c r="C94" s="38"/>
      <c r="D94" s="38"/>
      <c r="E94" s="38"/>
      <c r="F94" s="38"/>
      <c r="G94" s="38"/>
      <c r="H94" s="38"/>
      <c r="I94" s="38"/>
      <c r="J94" s="38"/>
      <c r="K94" s="38"/>
    </row>
    <row r="95" spans="1:11" x14ac:dyDescent="0.25">
      <c r="A95" s="38"/>
      <c r="B95" s="38"/>
      <c r="C95" s="38"/>
      <c r="D95" s="38"/>
      <c r="E95" s="38"/>
      <c r="F95" s="38"/>
      <c r="G95" s="38"/>
      <c r="H95" s="38"/>
      <c r="I95" s="38"/>
      <c r="J95" s="38"/>
      <c r="K95" s="38"/>
    </row>
    <row r="96" spans="1:11" x14ac:dyDescent="0.25">
      <c r="A96" s="20" t="s">
        <v>111</v>
      </c>
      <c r="B96" s="39"/>
      <c r="C96" s="39"/>
      <c r="D96" s="38"/>
      <c r="E96" s="38"/>
      <c r="F96" s="38"/>
      <c r="G96" s="38"/>
      <c r="H96" s="38"/>
      <c r="I96" s="38"/>
      <c r="J96" s="38"/>
      <c r="K96" s="38"/>
    </row>
    <row r="97" spans="1:13" x14ac:dyDescent="0.25">
      <c r="A97" s="15" t="s">
        <v>64</v>
      </c>
      <c r="B97" s="14">
        <f>6.5*0.01</f>
        <v>6.5000000000000002E-2</v>
      </c>
      <c r="C97" s="38"/>
      <c r="D97" s="38"/>
      <c r="E97" s="38"/>
      <c r="F97" s="38"/>
      <c r="G97" s="38"/>
      <c r="H97" s="38"/>
      <c r="I97" s="38"/>
      <c r="J97" s="38"/>
      <c r="K97" s="38"/>
    </row>
    <row r="98" spans="1:13" x14ac:dyDescent="0.25">
      <c r="C98" s="38"/>
      <c r="D98" s="38"/>
      <c r="E98" s="38"/>
      <c r="F98" s="38"/>
      <c r="G98" s="38"/>
      <c r="H98" s="38"/>
      <c r="I98" s="38"/>
      <c r="J98" s="38"/>
      <c r="K98" s="38"/>
    </row>
    <row r="99" spans="1:13" ht="15.75" thickBot="1" x14ac:dyDescent="0.3">
      <c r="A99" s="38" t="s">
        <v>113</v>
      </c>
      <c r="B99" s="38"/>
      <c r="C99" s="38"/>
      <c r="D99" s="38"/>
      <c r="E99" s="38"/>
      <c r="F99" s="38"/>
      <c r="G99" s="38"/>
      <c r="H99" s="38"/>
      <c r="I99" s="38"/>
      <c r="J99" s="38"/>
      <c r="K99" s="38"/>
    </row>
    <row r="100" spans="1:13" x14ac:dyDescent="0.25">
      <c r="C100" s="55" t="s">
        <v>80</v>
      </c>
      <c r="D100" s="56"/>
      <c r="E100" s="57"/>
      <c r="F100" s="56" t="s">
        <v>81</v>
      </c>
      <c r="G100" s="57"/>
      <c r="H100" s="55" t="s">
        <v>82</v>
      </c>
      <c r="I100" s="57"/>
      <c r="J100" s="55" t="s">
        <v>84</v>
      </c>
      <c r="K100" s="57"/>
      <c r="L100" s="55" t="s">
        <v>85</v>
      </c>
      <c r="M100" s="57"/>
    </row>
    <row r="101" spans="1:13" ht="15.75" thickBot="1" x14ac:dyDescent="0.3">
      <c r="A101" s="17" t="s">
        <v>38</v>
      </c>
      <c r="B101" s="17" t="s">
        <v>78</v>
      </c>
      <c r="C101" s="29" t="s">
        <v>40</v>
      </c>
      <c r="D101" s="30" t="s">
        <v>98</v>
      </c>
      <c r="E101" s="31" t="s">
        <v>24</v>
      </c>
      <c r="F101" s="25" t="s">
        <v>40</v>
      </c>
      <c r="G101" s="26" t="s">
        <v>24</v>
      </c>
      <c r="H101" s="27" t="s">
        <v>40</v>
      </c>
      <c r="I101" s="24" t="s">
        <v>24</v>
      </c>
      <c r="J101" s="27" t="s">
        <v>79</v>
      </c>
      <c r="K101" s="26" t="s">
        <v>24</v>
      </c>
      <c r="L101" s="27" t="s">
        <v>79</v>
      </c>
      <c r="M101" s="24" t="s">
        <v>24</v>
      </c>
    </row>
    <row r="102" spans="1:13" x14ac:dyDescent="0.25">
      <c r="A102">
        <v>0.5</v>
      </c>
      <c r="B102">
        <f t="shared" ref="B102:B110" si="35">$B$97*100/2</f>
        <v>3.25</v>
      </c>
      <c r="C102" s="3">
        <f>EXP(-A102*$B$2)</f>
        <v>0.98757780049388144</v>
      </c>
      <c r="D102" s="4">
        <f>EXP(-$B$3*A102)</f>
        <v>0.99750312239746008</v>
      </c>
      <c r="E102" s="5">
        <f>B102*C102*D102</f>
        <v>3.2016138037099537</v>
      </c>
      <c r="F102" s="4">
        <f>EXP(-A102*($B$2+0.0001))</f>
        <v>0.98752842283830844</v>
      </c>
      <c r="G102" s="5">
        <f>F102*D102*B102</f>
        <v>3.2014537270217187</v>
      </c>
      <c r="H102" s="3">
        <f>EXP(-A102*($B$2-0.0001))</f>
        <v>0.98762718061839894</v>
      </c>
      <c r="I102" s="5">
        <f>H102*D102*B102</f>
        <v>3.2017738884022227</v>
      </c>
      <c r="J102" s="3">
        <f>EXP(-A102*($B$3+0.0001))</f>
        <v>0.99745324848819839</v>
      </c>
      <c r="K102" s="5">
        <f>J102*C102*B102</f>
        <v>3.2014537270217187</v>
      </c>
      <c r="L102" s="9">
        <f>EXP(-A102*($B$3-0.0001))</f>
        <v>0.99755299880047965</v>
      </c>
      <c r="M102" s="10">
        <f>L102*C102*B102</f>
        <v>3.2017738884022231</v>
      </c>
    </row>
    <row r="103" spans="1:13" x14ac:dyDescent="0.25">
      <c r="A103">
        <f>A102+0.5</f>
        <v>1</v>
      </c>
      <c r="B103">
        <f t="shared" si="35"/>
        <v>3.25</v>
      </c>
      <c r="C103" s="3">
        <f t="shared" ref="C103:C111" si="36">EXP(-A103*$B$2)</f>
        <v>0.97530991202833262</v>
      </c>
      <c r="D103" s="4">
        <f t="shared" ref="D103:D111" si="37">EXP(-$B$3*A103)</f>
        <v>0.99501247919268232</v>
      </c>
      <c r="E103" s="5">
        <f t="shared" ref="E103:E111" si="38">B103*C103*D103</f>
        <v>3.1539479840326514</v>
      </c>
      <c r="F103" s="4">
        <f t="shared" ref="F103:F111" si="39">EXP(-A103*($B$2+0.0001))</f>
        <v>0.97521238591351689</v>
      </c>
      <c r="G103" s="5">
        <f t="shared" ref="G103:G111" si="40">F103*D103*B103</f>
        <v>3.1536326050034629</v>
      </c>
      <c r="H103" s="3">
        <f t="shared" ref="H103:H111" si="41">EXP(-A103*($B$2-0.0001))</f>
        <v>0.97540744789624767</v>
      </c>
      <c r="I103" s="5">
        <f t="shared" ref="I103:I111" si="42">H103*D103*B103</f>
        <v>3.1542633946013208</v>
      </c>
      <c r="J103" s="3">
        <f t="shared" ref="J103:J111" si="43">EXP(-A103*($B$3+0.0001))</f>
        <v>0.99491298291965957</v>
      </c>
      <c r="K103" s="5">
        <f t="shared" ref="K103:K111" si="44">J103*C103*B103</f>
        <v>3.1536326050034624</v>
      </c>
      <c r="L103" s="9">
        <f t="shared" ref="L103:L111" si="45">EXP(-A103*($B$3-0.0001))</f>
        <v>0.99511198541582979</v>
      </c>
      <c r="M103" s="10">
        <f t="shared" ref="M103:M111" si="46">L103*C103*B103</f>
        <v>3.1542633946013199</v>
      </c>
    </row>
    <row r="104" spans="1:13" x14ac:dyDescent="0.25">
      <c r="A104">
        <f t="shared" ref="A104:A111" si="47">A103+0.5</f>
        <v>1.5</v>
      </c>
      <c r="B104">
        <f t="shared" si="35"/>
        <v>3.25</v>
      </c>
      <c r="C104" s="3">
        <f t="shared" si="36"/>
        <v>0.96319441772082182</v>
      </c>
      <c r="D104" s="4">
        <f t="shared" si="37"/>
        <v>0.99252805481913842</v>
      </c>
      <c r="E104" s="5">
        <f t="shared" si="38"/>
        <v>3.1069918159575747</v>
      </c>
      <c r="F104" s="4">
        <f t="shared" si="39"/>
        <v>0.96304994939355903</v>
      </c>
      <c r="G104" s="5">
        <f t="shared" si="40"/>
        <v>3.106525802137091</v>
      </c>
      <c r="H104" s="3">
        <f t="shared" si="41"/>
        <v>0.96333890771995889</v>
      </c>
      <c r="I104" s="5">
        <f t="shared" si="42"/>
        <v>3.1074578996853739</v>
      </c>
      <c r="J104" s="3">
        <f t="shared" si="43"/>
        <v>0.99237918677629788</v>
      </c>
      <c r="K104" s="5">
        <f t="shared" si="44"/>
        <v>3.1065258021370914</v>
      </c>
      <c r="L104" s="9">
        <f t="shared" si="45"/>
        <v>0.99267694519386018</v>
      </c>
      <c r="M104" s="10">
        <f t="shared" si="46"/>
        <v>3.1074578996853739</v>
      </c>
    </row>
    <row r="105" spans="1:13" x14ac:dyDescent="0.25">
      <c r="A105">
        <f t="shared" si="47"/>
        <v>2</v>
      </c>
      <c r="B105">
        <f t="shared" si="35"/>
        <v>3.25</v>
      </c>
      <c r="C105" s="3">
        <f t="shared" si="36"/>
        <v>0.95122942450071402</v>
      </c>
      <c r="D105" s="4">
        <f t="shared" si="37"/>
        <v>0.99004983374916811</v>
      </c>
      <c r="E105" s="5">
        <f t="shared" si="38"/>
        <v>3.0607347341488085</v>
      </c>
      <c r="F105" s="4">
        <f t="shared" si="39"/>
        <v>0.95103919763913414</v>
      </c>
      <c r="G105" s="5">
        <f t="shared" si="40"/>
        <v>3.0601226484125927</v>
      </c>
      <c r="H105" s="3">
        <f t="shared" si="41"/>
        <v>0.95141968941147104</v>
      </c>
      <c r="I105" s="5">
        <f t="shared" si="42"/>
        <v>3.0613469423144144</v>
      </c>
      <c r="J105" s="3">
        <f t="shared" si="43"/>
        <v>0.98985184358209488</v>
      </c>
      <c r="K105" s="5">
        <f t="shared" si="44"/>
        <v>3.0601226484125923</v>
      </c>
      <c r="L105" s="9">
        <f t="shared" si="45"/>
        <v>0.99024786351823468</v>
      </c>
      <c r="M105" s="10">
        <f t="shared" si="46"/>
        <v>3.061346942314414</v>
      </c>
    </row>
    <row r="106" spans="1:13" x14ac:dyDescent="0.25">
      <c r="A106">
        <f t="shared" si="47"/>
        <v>2.5</v>
      </c>
      <c r="B106">
        <f t="shared" si="35"/>
        <v>3.25</v>
      </c>
      <c r="C106" s="3">
        <f t="shared" si="36"/>
        <v>0.93941306281347581</v>
      </c>
      <c r="D106" s="4">
        <f t="shared" si="37"/>
        <v>0.98757780049388144</v>
      </c>
      <c r="E106" s="5">
        <f t="shared" si="38"/>
        <v>3.0151663305677969</v>
      </c>
      <c r="F106" s="4">
        <f t="shared" si="39"/>
        <v>0.93917823890198437</v>
      </c>
      <c r="G106" s="5">
        <f t="shared" si="40"/>
        <v>3.0144126332012511</v>
      </c>
      <c r="H106" s="3">
        <f t="shared" si="41"/>
        <v>0.93964794543828389</v>
      </c>
      <c r="I106" s="5">
        <f t="shared" si="42"/>
        <v>3.0159202163822392</v>
      </c>
      <c r="J106" s="3">
        <f t="shared" si="43"/>
        <v>0.98733093690299256</v>
      </c>
      <c r="K106" s="5">
        <f t="shared" si="44"/>
        <v>3.0144126332012511</v>
      </c>
      <c r="L106" s="9">
        <f t="shared" si="45"/>
        <v>0.9878247258083831</v>
      </c>
      <c r="M106" s="10">
        <f t="shared" si="46"/>
        <v>3.0159202163822387</v>
      </c>
    </row>
    <row r="107" spans="1:13" x14ac:dyDescent="0.25">
      <c r="A107">
        <f t="shared" si="47"/>
        <v>3</v>
      </c>
      <c r="B107">
        <f t="shared" si="35"/>
        <v>3.25</v>
      </c>
      <c r="C107" s="3">
        <f t="shared" si="36"/>
        <v>0.92774348632855286</v>
      </c>
      <c r="D107" s="4">
        <f t="shared" si="37"/>
        <v>0.98511193960306265</v>
      </c>
      <c r="E107" s="5">
        <f t="shared" si="38"/>
        <v>2.9702763521314917</v>
      </c>
      <c r="F107" s="4">
        <f t="shared" si="39"/>
        <v>0.92746520502693663</v>
      </c>
      <c r="G107" s="5">
        <f t="shared" si="40"/>
        <v>2.9693854028749227</v>
      </c>
      <c r="H107" s="3">
        <f t="shared" si="41"/>
        <v>0.92802185112708346</v>
      </c>
      <c r="I107" s="5">
        <f t="shared" si="42"/>
        <v>2.971167568712934</v>
      </c>
      <c r="J107" s="3">
        <f t="shared" si="43"/>
        <v>0.98481645034678633</v>
      </c>
      <c r="K107" s="5">
        <f t="shared" si="44"/>
        <v>2.9693854028749227</v>
      </c>
      <c r="L107" s="9">
        <f t="shared" si="45"/>
        <v>0.98540751751941424</v>
      </c>
      <c r="M107" s="10">
        <f t="shared" si="46"/>
        <v>2.9711675687129344</v>
      </c>
    </row>
    <row r="108" spans="1:13" x14ac:dyDescent="0.25">
      <c r="A108">
        <f t="shared" si="47"/>
        <v>3.5</v>
      </c>
      <c r="B108">
        <f t="shared" si="35"/>
        <v>3.25</v>
      </c>
      <c r="C108" s="3">
        <f t="shared" si="36"/>
        <v>0.91621887165087756</v>
      </c>
      <c r="D108" s="4">
        <f t="shared" si="37"/>
        <v>0.9826522356650732</v>
      </c>
      <c r="E108" s="5">
        <f t="shared" si="38"/>
        <v>2.926054698405363</v>
      </c>
      <c r="F108" s="4">
        <f t="shared" si="39"/>
        <v>0.9158982511576591</v>
      </c>
      <c r="G108" s="5">
        <f t="shared" si="40"/>
        <v>2.9250307584608648</v>
      </c>
      <c r="H108" s="3">
        <f t="shared" si="41"/>
        <v>0.91653960438090898</v>
      </c>
      <c r="I108" s="5">
        <f t="shared" si="42"/>
        <v>2.9270789967915665</v>
      </c>
      <c r="J108" s="3">
        <f t="shared" si="43"/>
        <v>0.98230836756301854</v>
      </c>
      <c r="K108" s="5">
        <f t="shared" si="44"/>
        <v>2.9250307584608644</v>
      </c>
      <c r="L108" s="9">
        <f t="shared" si="45"/>
        <v>0.98299622414202781</v>
      </c>
      <c r="M108" s="10">
        <f t="shared" si="46"/>
        <v>2.927078996791566</v>
      </c>
    </row>
    <row r="109" spans="1:13" x14ac:dyDescent="0.25">
      <c r="A109">
        <f t="shared" si="47"/>
        <v>4</v>
      </c>
      <c r="B109">
        <f t="shared" si="35"/>
        <v>3.25</v>
      </c>
      <c r="C109" s="3">
        <f t="shared" si="36"/>
        <v>0.90483741803595952</v>
      </c>
      <c r="D109" s="4">
        <f t="shared" si="37"/>
        <v>0.98019867330675525</v>
      </c>
      <c r="E109" s="5">
        <f t="shared" si="38"/>
        <v>2.8824914193307616</v>
      </c>
      <c r="F109" s="4">
        <f t="shared" si="39"/>
        <v>0.90447555544608804</v>
      </c>
      <c r="G109" s="5">
        <f t="shared" si="40"/>
        <v>2.8813386533315999</v>
      </c>
      <c r="H109" s="3">
        <f t="shared" si="41"/>
        <v>0.90519942539982001</v>
      </c>
      <c r="I109" s="5">
        <f t="shared" si="42"/>
        <v>2.8836446465285572</v>
      </c>
      <c r="J109" s="3">
        <f t="shared" si="43"/>
        <v>0.9798066722428721</v>
      </c>
      <c r="K109" s="5">
        <f t="shared" si="44"/>
        <v>2.8813386533315999</v>
      </c>
      <c r="L109" s="9">
        <f t="shared" si="45"/>
        <v>0.9805908312024284</v>
      </c>
      <c r="M109" s="10">
        <f t="shared" si="46"/>
        <v>2.8836446465285572</v>
      </c>
    </row>
    <row r="110" spans="1:13" x14ac:dyDescent="0.25">
      <c r="A110">
        <f>A109+0.5</f>
        <v>4.5</v>
      </c>
      <c r="B110">
        <f t="shared" si="35"/>
        <v>3.25</v>
      </c>
      <c r="C110" s="3">
        <f t="shared" si="36"/>
        <v>0.89359734710851568</v>
      </c>
      <c r="D110" s="4">
        <f t="shared" si="37"/>
        <v>0.97775123719333634</v>
      </c>
      <c r="E110" s="5">
        <f t="shared" si="38"/>
        <v>2.8395767129861116</v>
      </c>
      <c r="F110" s="4">
        <f t="shared" si="39"/>
        <v>0.8931953187654782</v>
      </c>
      <c r="G110" s="5">
        <f t="shared" si="40"/>
        <v>2.838299190929289</v>
      </c>
      <c r="H110" s="3">
        <f t="shared" si="41"/>
        <v>0.89399955640501894</v>
      </c>
      <c r="I110" s="5">
        <f t="shared" si="42"/>
        <v>2.8408548100572286</v>
      </c>
      <c r="J110" s="3">
        <f t="shared" si="43"/>
        <v>0.97731134811906417</v>
      </c>
      <c r="K110" s="5">
        <f t="shared" si="44"/>
        <v>2.838299190929289</v>
      </c>
      <c r="L110" s="9">
        <f t="shared" si="45"/>
        <v>0.97819132426223743</v>
      </c>
      <c r="M110" s="10">
        <f t="shared" si="46"/>
        <v>2.8408548100572286</v>
      </c>
    </row>
    <row r="111" spans="1:13" ht="15.75" thickBot="1" x14ac:dyDescent="0.3">
      <c r="A111">
        <f t="shared" si="47"/>
        <v>5</v>
      </c>
      <c r="B111">
        <f>$B$97*100/2+100</f>
        <v>103.25</v>
      </c>
      <c r="C111" s="3">
        <f t="shared" si="36"/>
        <v>0.88249690258459546</v>
      </c>
      <c r="D111" s="4">
        <f t="shared" si="37"/>
        <v>0.97530991202833262</v>
      </c>
      <c r="E111" s="5">
        <f t="shared" si="38"/>
        <v>88.868098565887209</v>
      </c>
      <c r="F111" s="7">
        <f t="shared" si="39"/>
        <v>0.88205576442703293</v>
      </c>
      <c r="G111" s="8">
        <f t="shared" si="40"/>
        <v>88.823675623265402</v>
      </c>
      <c r="H111" s="6">
        <f t="shared" si="41"/>
        <v>0.8829382613663882</v>
      </c>
      <c r="I111" s="8">
        <f t="shared" si="42"/>
        <v>88.912543725534135</v>
      </c>
      <c r="J111" s="6">
        <f t="shared" si="43"/>
        <v>0.97482237896574109</v>
      </c>
      <c r="K111" s="8">
        <f t="shared" si="44"/>
        <v>88.823675623265416</v>
      </c>
      <c r="L111" s="11">
        <f t="shared" si="45"/>
        <v>0.97579768891840735</v>
      </c>
      <c r="M111" s="12">
        <f t="shared" si="46"/>
        <v>88.912543725534135</v>
      </c>
    </row>
    <row r="112" spans="1:13" ht="15.75" thickBot="1" x14ac:dyDescent="0.3">
      <c r="C112" s="6"/>
      <c r="D112" s="28" t="s">
        <v>99</v>
      </c>
      <c r="E112" s="32">
        <f>SUM(E102:E111)</f>
        <v>116.02495241715772</v>
      </c>
      <c r="G112" s="19">
        <f>SUM(G102:G111)</f>
        <v>115.97387704463819</v>
      </c>
      <c r="I112" s="19">
        <f>SUM(I102:I111)</f>
        <v>116.07605208901001</v>
      </c>
      <c r="K112" s="19">
        <f>SUM(K102:K111)</f>
        <v>115.97387704463821</v>
      </c>
      <c r="M112" s="19">
        <f>SUM(M102:M111)</f>
        <v>116.07605208900999</v>
      </c>
    </row>
    <row r="113" spans="1:12" ht="15.75" thickBot="1" x14ac:dyDescent="0.3">
      <c r="G113" s="13" t="s">
        <v>83</v>
      </c>
      <c r="H113" s="1">
        <f>-((G112-I112)/(0.0001*2))/E112</f>
        <v>4.4031495916696199</v>
      </c>
      <c r="J113" s="58" t="s">
        <v>86</v>
      </c>
      <c r="K113" s="58"/>
      <c r="L113" s="1">
        <f>-((K112-M112)/(0.0001*2))/E112</f>
        <v>4.4031495916677823</v>
      </c>
    </row>
    <row r="114" spans="1:12" x14ac:dyDescent="0.25">
      <c r="A114" s="2" t="s">
        <v>121</v>
      </c>
    </row>
    <row r="115" spans="1:12" x14ac:dyDescent="0.25">
      <c r="A115" s="15" t="s">
        <v>116</v>
      </c>
      <c r="B115" s="19">
        <f>E112</f>
        <v>116.02495241715772</v>
      </c>
    </row>
    <row r="116" spans="1:12" x14ac:dyDescent="0.25">
      <c r="A116" s="15" t="s">
        <v>117</v>
      </c>
      <c r="B116" s="19">
        <f>H113</f>
        <v>4.4031495916696199</v>
      </c>
    </row>
    <row r="117" spans="1:12" x14ac:dyDescent="0.25">
      <c r="A117" s="15" t="s">
        <v>118</v>
      </c>
      <c r="B117" s="19">
        <f>E46</f>
        <v>97.671205439926851</v>
      </c>
    </row>
    <row r="118" spans="1:12" x14ac:dyDescent="0.25">
      <c r="A118" s="15" t="s">
        <v>119</v>
      </c>
      <c r="B118" s="19">
        <f>I47</f>
        <v>-5.5141696326678279E-2</v>
      </c>
    </row>
    <row r="119" spans="1:12" x14ac:dyDescent="0.25">
      <c r="A119" s="15" t="s">
        <v>147</v>
      </c>
      <c r="B119" s="19">
        <f>B115-B117</f>
        <v>18.35374697723087</v>
      </c>
    </row>
    <row r="120" spans="1:12" x14ac:dyDescent="0.25">
      <c r="A120" s="15" t="s">
        <v>148</v>
      </c>
      <c r="B120" s="19">
        <f>(B115*B116-B117*B118)/(100)</f>
        <v>5.1626097780932421</v>
      </c>
    </row>
    <row r="122" spans="1:12" ht="15.75" thickBot="1" x14ac:dyDescent="0.3">
      <c r="A122" s="37" t="s">
        <v>124</v>
      </c>
      <c r="B122" s="20"/>
      <c r="C122" s="20"/>
    </row>
    <row r="123" spans="1:12" x14ac:dyDescent="0.25">
      <c r="C123" s="55" t="s">
        <v>80</v>
      </c>
      <c r="D123" s="56"/>
      <c r="E123" s="57"/>
      <c r="F123" s="56" t="s">
        <v>81</v>
      </c>
      <c r="G123" s="57"/>
      <c r="H123" s="55" t="s">
        <v>82</v>
      </c>
      <c r="I123" s="57"/>
    </row>
    <row r="124" spans="1:12" ht="15.75" thickBot="1" x14ac:dyDescent="0.3">
      <c r="A124" s="17" t="s">
        <v>38</v>
      </c>
      <c r="B124" s="17" t="s">
        <v>78</v>
      </c>
      <c r="C124" s="29" t="s">
        <v>40</v>
      </c>
      <c r="D124" s="30" t="s">
        <v>98</v>
      </c>
      <c r="E124" s="31" t="s">
        <v>24</v>
      </c>
      <c r="F124" s="25" t="s">
        <v>40</v>
      </c>
      <c r="G124" s="26" t="s">
        <v>24</v>
      </c>
      <c r="H124" s="27" t="s">
        <v>40</v>
      </c>
      <c r="I124" s="24" t="s">
        <v>24</v>
      </c>
    </row>
    <row r="125" spans="1:12" x14ac:dyDescent="0.25">
      <c r="A125">
        <v>0.5</v>
      </c>
      <c r="B125">
        <f t="shared" ref="B125:B133" si="48">$B$97*100/2</f>
        <v>3.25</v>
      </c>
      <c r="C125" s="3">
        <f>EXP(-A125*$B$2)</f>
        <v>0.98757780049388144</v>
      </c>
      <c r="D125" s="4">
        <v>1</v>
      </c>
      <c r="E125" s="5">
        <f>B125*C125*D125</f>
        <v>3.2096278516051147</v>
      </c>
      <c r="F125" s="4">
        <f>EXP(-A125*($B$2+0.0001))</f>
        <v>0.98752842283830844</v>
      </c>
      <c r="G125" s="5">
        <f>F125*D125*B125</f>
        <v>3.2094673742245026</v>
      </c>
      <c r="H125" s="3">
        <f>EXP(-A125*($B$2-0.0001))</f>
        <v>0.98762718061839894</v>
      </c>
      <c r="I125" s="5">
        <f>H125*D125*B125</f>
        <v>3.2097883370097966</v>
      </c>
    </row>
    <row r="126" spans="1:12" x14ac:dyDescent="0.25">
      <c r="A126">
        <f>A125+0.5</f>
        <v>1</v>
      </c>
      <c r="B126">
        <f t="shared" si="48"/>
        <v>3.25</v>
      </c>
      <c r="C126" s="3">
        <f t="shared" ref="C126:C134" si="49">EXP(-A126*$B$2)</f>
        <v>0.97530991202833262</v>
      </c>
      <c r="D126" s="4">
        <v>1</v>
      </c>
      <c r="E126" s="5">
        <f t="shared" ref="E126:E134" si="50">B126*C126*D126</f>
        <v>3.1697572140920811</v>
      </c>
      <c r="F126" s="4">
        <f t="shared" ref="F126:F134" si="51">EXP(-A126*($B$2+0.0001))</f>
        <v>0.97521238591351689</v>
      </c>
      <c r="G126" s="5">
        <f t="shared" ref="G126:G134" si="52">F126*D126*B126</f>
        <v>3.1694402542189297</v>
      </c>
      <c r="H126" s="3">
        <f t="shared" ref="H126:H134" si="53">EXP(-A126*($B$2-0.0001))</f>
        <v>0.97540744789624767</v>
      </c>
      <c r="I126" s="5">
        <f t="shared" ref="I126:I134" si="54">H126*D126*B126</f>
        <v>3.1700742056628051</v>
      </c>
    </row>
    <row r="127" spans="1:12" x14ac:dyDescent="0.25">
      <c r="A127">
        <f t="shared" ref="A127:A134" si="55">A126+0.5</f>
        <v>1.5</v>
      </c>
      <c r="B127">
        <f t="shared" si="48"/>
        <v>3.25</v>
      </c>
      <c r="C127" s="3">
        <f t="shared" si="49"/>
        <v>0.96319441772082182</v>
      </c>
      <c r="D127" s="4">
        <v>1</v>
      </c>
      <c r="E127" s="5">
        <f t="shared" si="50"/>
        <v>3.130381857592671</v>
      </c>
      <c r="F127" s="4">
        <f t="shared" si="51"/>
        <v>0.96304994939355903</v>
      </c>
      <c r="G127" s="5">
        <f t="shared" si="52"/>
        <v>3.1299123355290668</v>
      </c>
      <c r="H127" s="3">
        <f t="shared" si="53"/>
        <v>0.96333890771995889</v>
      </c>
      <c r="I127" s="5">
        <f t="shared" si="54"/>
        <v>3.1308514500898665</v>
      </c>
    </row>
    <row r="128" spans="1:12" x14ac:dyDescent="0.25">
      <c r="A128">
        <f t="shared" si="55"/>
        <v>2</v>
      </c>
      <c r="B128">
        <f t="shared" si="48"/>
        <v>3.25</v>
      </c>
      <c r="C128" s="3">
        <f t="shared" si="49"/>
        <v>0.95122942450071402</v>
      </c>
      <c r="D128" s="4">
        <v>1</v>
      </c>
      <c r="E128" s="5">
        <f t="shared" si="50"/>
        <v>3.0914956296273206</v>
      </c>
      <c r="F128" s="4">
        <f t="shared" si="51"/>
        <v>0.95103919763913414</v>
      </c>
      <c r="G128" s="5">
        <f t="shared" si="52"/>
        <v>3.0908773923271857</v>
      </c>
      <c r="H128" s="3">
        <f t="shared" si="53"/>
        <v>0.95141968941147104</v>
      </c>
      <c r="I128" s="5">
        <f t="shared" si="54"/>
        <v>3.092113990587281</v>
      </c>
    </row>
    <row r="129" spans="1:9" x14ac:dyDescent="0.25">
      <c r="A129">
        <f t="shared" si="55"/>
        <v>2.5</v>
      </c>
      <c r="B129">
        <f t="shared" si="48"/>
        <v>3.25</v>
      </c>
      <c r="C129" s="3">
        <f t="shared" si="49"/>
        <v>0.93941306281347581</v>
      </c>
      <c r="D129" s="4">
        <v>1</v>
      </c>
      <c r="E129" s="5">
        <f t="shared" si="50"/>
        <v>3.0530924541437963</v>
      </c>
      <c r="F129" s="4">
        <f t="shared" si="51"/>
        <v>0.93917823890198437</v>
      </c>
      <c r="G129" s="5">
        <f t="shared" si="52"/>
        <v>3.0523292764314491</v>
      </c>
      <c r="H129" s="3">
        <f t="shared" si="53"/>
        <v>0.93964794543828389</v>
      </c>
      <c r="I129" s="5">
        <f t="shared" si="54"/>
        <v>3.0538558226744228</v>
      </c>
    </row>
    <row r="130" spans="1:9" x14ac:dyDescent="0.25">
      <c r="A130">
        <f t="shared" si="55"/>
        <v>3</v>
      </c>
      <c r="B130">
        <f t="shared" si="48"/>
        <v>3.25</v>
      </c>
      <c r="C130" s="3">
        <f t="shared" si="49"/>
        <v>0.92774348632855286</v>
      </c>
      <c r="D130" s="4">
        <v>1</v>
      </c>
      <c r="E130" s="5">
        <f t="shared" si="50"/>
        <v>3.0151663305677969</v>
      </c>
      <c r="F130" s="4">
        <f t="shared" si="51"/>
        <v>0.92746520502693663</v>
      </c>
      <c r="G130" s="5">
        <f t="shared" si="52"/>
        <v>3.0142619163375439</v>
      </c>
      <c r="H130" s="3">
        <f t="shared" si="53"/>
        <v>0.92802185112708346</v>
      </c>
      <c r="I130" s="5">
        <f t="shared" si="54"/>
        <v>3.0160710161630213</v>
      </c>
    </row>
    <row r="131" spans="1:9" x14ac:dyDescent="0.25">
      <c r="A131">
        <f t="shared" si="55"/>
        <v>3.5</v>
      </c>
      <c r="B131">
        <f t="shared" si="48"/>
        <v>3.25</v>
      </c>
      <c r="C131" s="3">
        <f t="shared" si="49"/>
        <v>0.91621887165087756</v>
      </c>
      <c r="D131" s="4">
        <v>1</v>
      </c>
      <c r="E131" s="5">
        <f t="shared" si="50"/>
        <v>2.9777113328653519</v>
      </c>
      <c r="F131" s="4">
        <f t="shared" si="51"/>
        <v>0.9158982511576591</v>
      </c>
      <c r="G131" s="5">
        <f t="shared" si="52"/>
        <v>2.9766693162623921</v>
      </c>
      <c r="H131" s="3">
        <f t="shared" si="53"/>
        <v>0.91653960438090898</v>
      </c>
      <c r="I131" s="5">
        <f t="shared" si="54"/>
        <v>2.9787537142379543</v>
      </c>
    </row>
    <row r="132" spans="1:9" x14ac:dyDescent="0.25">
      <c r="A132">
        <f t="shared" si="55"/>
        <v>4</v>
      </c>
      <c r="B132">
        <f t="shared" si="48"/>
        <v>3.25</v>
      </c>
      <c r="C132" s="3">
        <f t="shared" si="49"/>
        <v>0.90483741803595952</v>
      </c>
      <c r="D132" s="4">
        <v>1</v>
      </c>
      <c r="E132" s="5">
        <f t="shared" si="50"/>
        <v>2.9407216086168684</v>
      </c>
      <c r="F132" s="4">
        <f t="shared" si="51"/>
        <v>0.90447555544608804</v>
      </c>
      <c r="G132" s="5">
        <f t="shared" si="52"/>
        <v>2.939545555199786</v>
      </c>
      <c r="H132" s="3">
        <f t="shared" si="53"/>
        <v>0.90519942539982001</v>
      </c>
      <c r="I132" s="5">
        <f t="shared" si="54"/>
        <v>2.9418981325494151</v>
      </c>
    </row>
    <row r="133" spans="1:9" x14ac:dyDescent="0.25">
      <c r="A133">
        <f>A132+0.5</f>
        <v>4.5</v>
      </c>
      <c r="B133">
        <f t="shared" si="48"/>
        <v>3.25</v>
      </c>
      <c r="C133" s="3">
        <f t="shared" si="49"/>
        <v>0.89359734710851568</v>
      </c>
      <c r="D133" s="4">
        <v>1</v>
      </c>
      <c r="E133" s="5">
        <f t="shared" si="50"/>
        <v>2.9041913781026758</v>
      </c>
      <c r="F133" s="4">
        <f t="shared" si="51"/>
        <v>0.8931953187654782</v>
      </c>
      <c r="G133" s="5">
        <f t="shared" si="52"/>
        <v>2.902884785987804</v>
      </c>
      <c r="H133" s="3">
        <f t="shared" si="53"/>
        <v>0.89399955640501894</v>
      </c>
      <c r="I133" s="5">
        <f t="shared" si="54"/>
        <v>2.9054985583163115</v>
      </c>
    </row>
    <row r="134" spans="1:9" ht="15.75" thickBot="1" x14ac:dyDescent="0.3">
      <c r="A134">
        <f t="shared" si="55"/>
        <v>5</v>
      </c>
      <c r="B134">
        <f>$B$97*100/2+100</f>
        <v>103.25</v>
      </c>
      <c r="C134" s="3">
        <f t="shared" si="49"/>
        <v>0.88249690258459546</v>
      </c>
      <c r="D134" s="4">
        <v>1</v>
      </c>
      <c r="E134" s="5">
        <f t="shared" si="50"/>
        <v>91.117805191859475</v>
      </c>
      <c r="F134" s="7">
        <f t="shared" si="51"/>
        <v>0.88205576442703293</v>
      </c>
      <c r="G134" s="8">
        <f t="shared" si="52"/>
        <v>91.072257677091145</v>
      </c>
      <c r="H134" s="6">
        <f t="shared" si="53"/>
        <v>0.8829382613663882</v>
      </c>
      <c r="I134" s="8">
        <f t="shared" si="54"/>
        <v>91.163375486079588</v>
      </c>
    </row>
    <row r="135" spans="1:9" ht="15.75" thickBot="1" x14ac:dyDescent="0.3">
      <c r="C135" s="6"/>
      <c r="D135" s="28" t="s">
        <v>99</v>
      </c>
      <c r="E135" s="32">
        <f>SUM(E125:E134)</f>
        <v>118.60995084907316</v>
      </c>
      <c r="G135" s="19">
        <f>SUM(G125:G134)</f>
        <v>118.55764588360981</v>
      </c>
      <c r="I135" s="19">
        <f>SUM(I125:I134)</f>
        <v>118.66228071337046</v>
      </c>
    </row>
    <row r="136" spans="1:9" ht="15.75" thickBot="1" x14ac:dyDescent="0.3">
      <c r="G136" s="13" t="s">
        <v>83</v>
      </c>
      <c r="H136" s="1">
        <f>-((G135-I135)/(0.0001*2))/E135</f>
        <v>4.4108790624911247</v>
      </c>
    </row>
    <row r="138" spans="1:9" x14ac:dyDescent="0.25">
      <c r="A138" s="40" t="s">
        <v>122</v>
      </c>
      <c r="B138" s="41"/>
      <c r="C138" s="41"/>
    </row>
    <row r="139" spans="1:9" x14ac:dyDescent="0.25">
      <c r="A139" s="15" t="s">
        <v>116</v>
      </c>
      <c r="B139" s="19">
        <f>E135</f>
        <v>118.60995084907316</v>
      </c>
    </row>
    <row r="140" spans="1:9" x14ac:dyDescent="0.25">
      <c r="A140" s="15" t="s">
        <v>117</v>
      </c>
      <c r="B140" s="19">
        <f>H136</f>
        <v>4.4108790624911247</v>
      </c>
    </row>
    <row r="141" spans="1:9" x14ac:dyDescent="0.25">
      <c r="A141" s="15" t="s">
        <v>118</v>
      </c>
      <c r="B141" s="19">
        <f>100</f>
        <v>100</v>
      </c>
    </row>
    <row r="142" spans="1:9" x14ac:dyDescent="0.25">
      <c r="A142" s="15" t="s">
        <v>119</v>
      </c>
      <c r="B142" s="19">
        <f>0</f>
        <v>0</v>
      </c>
    </row>
    <row r="143" spans="1:9" x14ac:dyDescent="0.25">
      <c r="A143" s="15" t="s">
        <v>14</v>
      </c>
      <c r="B143" s="19">
        <f>B139-B141</f>
        <v>18.609950849073158</v>
      </c>
    </row>
    <row r="144" spans="1:9" x14ac:dyDescent="0.25">
      <c r="A144" s="15" t="s">
        <v>120</v>
      </c>
      <c r="B144" s="19">
        <f>(B139*B140-B141*B142)/(100)</f>
        <v>5.2317414880327817</v>
      </c>
    </row>
  </sheetData>
  <mergeCells count="32">
    <mergeCell ref="B58:D58"/>
    <mergeCell ref="B57:G57"/>
    <mergeCell ref="E58:G58"/>
    <mergeCell ref="C123:E123"/>
    <mergeCell ref="F123:G123"/>
    <mergeCell ref="H123:I123"/>
    <mergeCell ref="L100:M100"/>
    <mergeCell ref="J113:K113"/>
    <mergeCell ref="C100:E100"/>
    <mergeCell ref="F100:G100"/>
    <mergeCell ref="H100:I100"/>
    <mergeCell ref="J100:K100"/>
    <mergeCell ref="C74:E74"/>
    <mergeCell ref="F74:G74"/>
    <mergeCell ref="H74:I74"/>
    <mergeCell ref="N24:O24"/>
    <mergeCell ref="J21:K21"/>
    <mergeCell ref="C24:E24"/>
    <mergeCell ref="F24:H24"/>
    <mergeCell ref="I24:K24"/>
    <mergeCell ref="L47:M47"/>
    <mergeCell ref="L24:M24"/>
    <mergeCell ref="A56:D56"/>
    <mergeCell ref="H57:M57"/>
    <mergeCell ref="H58:J58"/>
    <mergeCell ref="K58:M58"/>
    <mergeCell ref="A66:K66"/>
    <mergeCell ref="C8:E8"/>
    <mergeCell ref="F8:G8"/>
    <mergeCell ref="J8:K8"/>
    <mergeCell ref="L8:M8"/>
    <mergeCell ref="H8:I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70"/>
  <sheetViews>
    <sheetView workbookViewId="0">
      <selection activeCell="D43" sqref="D43"/>
    </sheetView>
  </sheetViews>
  <sheetFormatPr defaultRowHeight="15" x14ac:dyDescent="0.25"/>
  <cols>
    <col min="1" max="1" width="32" customWidth="1"/>
    <col min="2" max="2" width="38.7109375" customWidth="1"/>
    <col min="3" max="3" width="26.28515625" customWidth="1"/>
    <col min="4" max="4" width="35.85546875" customWidth="1"/>
    <col min="5" max="5" width="38.7109375" customWidth="1"/>
  </cols>
  <sheetData>
    <row r="1" spans="1:13" ht="15.75" thickBot="1" x14ac:dyDescent="0.3">
      <c r="A1" s="13" t="s">
        <v>132</v>
      </c>
      <c r="B1" s="14">
        <v>0.02</v>
      </c>
    </row>
    <row r="2" spans="1:13" ht="15.75" thickBot="1" x14ac:dyDescent="0.3">
      <c r="A2" s="13" t="s">
        <v>133</v>
      </c>
      <c r="B2" s="14">
        <v>0.4</v>
      </c>
    </row>
    <row r="4" spans="1:13" x14ac:dyDescent="0.25">
      <c r="A4" s="2" t="s">
        <v>29</v>
      </c>
    </row>
    <row r="5" spans="1:13" ht="15.75" thickBot="1" x14ac:dyDescent="0.3">
      <c r="A5" s="13" t="s">
        <v>134</v>
      </c>
      <c r="B5" s="14">
        <v>4</v>
      </c>
    </row>
    <row r="6" spans="1:13" ht="15.75" thickBot="1" x14ac:dyDescent="0.3">
      <c r="A6" s="13" t="s">
        <v>135</v>
      </c>
      <c r="B6" s="14">
        <v>0.01</v>
      </c>
    </row>
    <row r="7" spans="1:13" x14ac:dyDescent="0.25">
      <c r="A7" s="52" t="s">
        <v>138</v>
      </c>
      <c r="B7" s="52"/>
    </row>
    <row r="8" spans="1:13" x14ac:dyDescent="0.25">
      <c r="A8" s="15" t="s">
        <v>38</v>
      </c>
      <c r="B8" s="15" t="s">
        <v>137</v>
      </c>
    </row>
    <row r="9" spans="1:13" x14ac:dyDescent="0.25">
      <c r="A9" s="14">
        <v>0</v>
      </c>
      <c r="B9" s="19">
        <v>0</v>
      </c>
    </row>
    <row r="10" spans="1:13" x14ac:dyDescent="0.25">
      <c r="A10" s="14">
        <v>0.25</v>
      </c>
      <c r="B10" s="19">
        <f>EXP(-$B$1*A10-$B$6*A9)/4</f>
        <v>0.24875311979817058</v>
      </c>
      <c r="C10" s="65"/>
      <c r="D10" s="65"/>
      <c r="E10" s="65"/>
      <c r="F10" s="65"/>
      <c r="G10" s="65"/>
      <c r="H10" s="65"/>
      <c r="I10" s="65"/>
      <c r="J10" s="65"/>
      <c r="K10" s="65"/>
      <c r="L10" s="65"/>
      <c r="M10" s="65"/>
    </row>
    <row r="11" spans="1:13" x14ac:dyDescent="0.25">
      <c r="A11" s="14">
        <v>0.5</v>
      </c>
      <c r="B11" s="19">
        <f t="shared" ref="B11:B21" si="0">EXP(-$B$1*A11-$B$6*A10)/4</f>
        <v>0.24689445012347036</v>
      </c>
      <c r="C11" s="65"/>
      <c r="D11" s="65"/>
      <c r="E11" s="65"/>
      <c r="F11" s="65"/>
      <c r="G11" s="65"/>
      <c r="H11" s="65"/>
      <c r="I11" s="65"/>
      <c r="J11" s="65"/>
      <c r="K11" s="65"/>
      <c r="L11" s="65"/>
      <c r="M11" s="65"/>
    </row>
    <row r="12" spans="1:13" x14ac:dyDescent="0.25">
      <c r="A12" s="14">
        <v>0.75</v>
      </c>
      <c r="B12" s="19">
        <f t="shared" si="0"/>
        <v>0.24504966832668881</v>
      </c>
      <c r="C12" s="65"/>
      <c r="D12" s="65"/>
      <c r="E12" s="65"/>
      <c r="F12" s="65"/>
      <c r="G12" s="65"/>
      <c r="H12" s="65"/>
      <c r="I12" s="65"/>
      <c r="J12" s="65"/>
      <c r="K12" s="65"/>
      <c r="L12" s="65"/>
      <c r="M12" s="65"/>
    </row>
    <row r="13" spans="1:13" x14ac:dyDescent="0.25">
      <c r="A13" s="14">
        <v>1</v>
      </c>
      <c r="B13" s="19">
        <f t="shared" si="0"/>
        <v>0.2432186706383635</v>
      </c>
      <c r="C13" s="65"/>
      <c r="D13" s="65"/>
      <c r="E13" s="65"/>
      <c r="F13" s="65"/>
      <c r="G13" s="65"/>
      <c r="H13" s="65"/>
      <c r="I13" s="65"/>
      <c r="J13" s="65"/>
      <c r="K13" s="65"/>
      <c r="L13" s="65"/>
      <c r="M13" s="65"/>
    </row>
    <row r="14" spans="1:13" x14ac:dyDescent="0.25">
      <c r="A14" s="14">
        <v>1.25</v>
      </c>
      <c r="B14" s="19">
        <f t="shared" si="0"/>
        <v>0.24140135406439162</v>
      </c>
      <c r="C14" s="65"/>
      <c r="D14" s="65"/>
      <c r="E14" s="65"/>
      <c r="F14" s="65"/>
      <c r="G14" s="65"/>
      <c r="H14" s="65"/>
      <c r="I14" s="65"/>
      <c r="J14" s="65"/>
      <c r="K14" s="65"/>
      <c r="L14" s="65"/>
      <c r="M14" s="65"/>
    </row>
    <row r="15" spans="1:13" x14ac:dyDescent="0.25">
      <c r="A15" s="14">
        <v>1.5</v>
      </c>
      <c r="B15" s="19">
        <f t="shared" si="0"/>
        <v>0.23959761638023674</v>
      </c>
      <c r="C15" s="65"/>
      <c r="D15" s="65"/>
      <c r="E15" s="65"/>
      <c r="F15" s="65"/>
      <c r="G15" s="65"/>
      <c r="H15" s="65"/>
      <c r="I15" s="65"/>
      <c r="J15" s="65"/>
      <c r="K15" s="65"/>
      <c r="L15" s="65"/>
      <c r="M15" s="65"/>
    </row>
    <row r="16" spans="1:13" x14ac:dyDescent="0.25">
      <c r="A16" s="14">
        <v>1.75</v>
      </c>
      <c r="B16" s="19">
        <f t="shared" si="0"/>
        <v>0.2378073561251785</v>
      </c>
      <c r="C16" s="65"/>
      <c r="D16" s="65"/>
      <c r="E16" s="65"/>
      <c r="F16" s="65"/>
      <c r="G16" s="65"/>
      <c r="H16" s="65"/>
      <c r="I16" s="65"/>
      <c r="J16" s="65"/>
      <c r="K16" s="65"/>
      <c r="L16" s="65"/>
      <c r="M16" s="65"/>
    </row>
    <row r="17" spans="1:13" x14ac:dyDescent="0.25">
      <c r="A17" s="14">
        <v>2</v>
      </c>
      <c r="B17" s="19">
        <f t="shared" si="0"/>
        <v>0.23603047259660553</v>
      </c>
      <c r="C17" s="65"/>
      <c r="D17" s="65"/>
      <c r="E17" s="65"/>
      <c r="F17" s="65"/>
      <c r="G17" s="65"/>
      <c r="H17" s="65"/>
      <c r="I17" s="65"/>
      <c r="J17" s="65"/>
      <c r="K17" s="65"/>
      <c r="L17" s="65"/>
      <c r="M17" s="65"/>
    </row>
    <row r="18" spans="1:13" x14ac:dyDescent="0.25">
      <c r="A18" s="14">
        <v>2.25</v>
      </c>
      <c r="B18" s="19">
        <f t="shared" si="0"/>
        <v>0.23426686584435086</v>
      </c>
      <c r="C18" s="65"/>
      <c r="D18" s="65"/>
      <c r="E18" s="65"/>
      <c r="F18" s="65"/>
      <c r="G18" s="65"/>
      <c r="H18" s="65"/>
      <c r="I18" s="65"/>
      <c r="J18" s="65"/>
      <c r="K18" s="65"/>
      <c r="L18" s="65"/>
      <c r="M18" s="65"/>
    </row>
    <row r="19" spans="1:13" x14ac:dyDescent="0.25">
      <c r="A19" s="14">
        <v>2.5</v>
      </c>
      <c r="B19" s="19">
        <f t="shared" si="0"/>
        <v>0.2325164366650696</v>
      </c>
      <c r="C19" s="65"/>
      <c r="D19" s="65"/>
      <c r="E19" s="65"/>
      <c r="F19" s="65"/>
      <c r="G19" s="65"/>
      <c r="H19" s="65"/>
      <c r="I19" s="65"/>
      <c r="J19" s="65"/>
      <c r="K19" s="65"/>
      <c r="L19" s="65"/>
      <c r="M19" s="65"/>
    </row>
    <row r="20" spans="1:13" x14ac:dyDescent="0.25">
      <c r="A20" s="14">
        <v>2.75</v>
      </c>
      <c r="B20" s="19">
        <f t="shared" si="0"/>
        <v>0.23077908659665894</v>
      </c>
      <c r="C20" s="65"/>
      <c r="D20" s="65"/>
      <c r="E20" s="65"/>
      <c r="F20" s="65"/>
      <c r="G20" s="65"/>
      <c r="H20" s="65"/>
      <c r="I20" s="65"/>
      <c r="J20" s="65"/>
      <c r="K20" s="65"/>
      <c r="L20" s="65"/>
      <c r="M20" s="65"/>
    </row>
    <row r="21" spans="1:13" x14ac:dyDescent="0.25">
      <c r="A21" s="14">
        <v>3</v>
      </c>
      <c r="B21" s="19">
        <f t="shared" si="0"/>
        <v>0.22905471791271942</v>
      </c>
      <c r="C21" s="65"/>
      <c r="D21" s="65"/>
      <c r="E21" s="65"/>
      <c r="F21" s="65"/>
      <c r="G21" s="65"/>
      <c r="H21" s="65"/>
      <c r="I21" s="65"/>
      <c r="J21" s="65"/>
      <c r="K21" s="65"/>
      <c r="L21" s="65"/>
      <c r="M21" s="65"/>
    </row>
    <row r="22" spans="1:13" ht="15.75" thickBot="1" x14ac:dyDescent="0.3">
      <c r="A22" s="13" t="s">
        <v>136</v>
      </c>
      <c r="B22" s="47">
        <f>SUM(B10:B21)</f>
        <v>2.8653698150719049</v>
      </c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</row>
    <row r="23" spans="1:13" x14ac:dyDescent="0.25">
      <c r="C23" s="65"/>
      <c r="D23" s="65"/>
      <c r="E23" s="65"/>
      <c r="F23" s="65"/>
      <c r="G23" s="65"/>
      <c r="H23" s="65"/>
      <c r="I23" s="65"/>
      <c r="J23" s="65"/>
      <c r="K23" s="65"/>
      <c r="L23" s="65"/>
      <c r="M23" s="65"/>
    </row>
    <row r="24" spans="1:13" x14ac:dyDescent="0.25">
      <c r="A24" s="52" t="s">
        <v>139</v>
      </c>
      <c r="B24" s="52"/>
      <c r="C24" s="65"/>
      <c r="D24" s="65"/>
      <c r="E24" s="65"/>
      <c r="F24" s="65"/>
      <c r="G24" s="65"/>
      <c r="H24" s="65"/>
      <c r="I24" s="65"/>
      <c r="J24" s="65"/>
      <c r="K24" s="65"/>
      <c r="L24" s="65"/>
      <c r="M24" s="65"/>
    </row>
    <row r="25" spans="1:13" x14ac:dyDescent="0.25">
      <c r="A25" s="15" t="s">
        <v>38</v>
      </c>
      <c r="B25" s="15" t="s">
        <v>146</v>
      </c>
      <c r="C25" s="65"/>
      <c r="D25" s="65"/>
      <c r="E25" s="65"/>
      <c r="F25" s="65"/>
      <c r="G25" s="65"/>
      <c r="H25" s="65"/>
      <c r="I25" s="65"/>
      <c r="J25" s="65"/>
      <c r="K25" s="65"/>
      <c r="L25" s="65"/>
      <c r="M25" s="65"/>
    </row>
    <row r="26" spans="1:13" x14ac:dyDescent="0.25">
      <c r="A26" s="14">
        <v>0</v>
      </c>
      <c r="B26" s="19">
        <v>0</v>
      </c>
      <c r="C26" s="65"/>
      <c r="D26" s="65"/>
      <c r="E26" s="65"/>
      <c r="F26" s="65"/>
      <c r="G26" s="65"/>
      <c r="H26" s="65"/>
      <c r="I26" s="65"/>
      <c r="J26" s="65"/>
      <c r="K26" s="65"/>
      <c r="L26" s="65"/>
      <c r="M26" s="65"/>
    </row>
    <row r="27" spans="1:13" x14ac:dyDescent="0.25">
      <c r="A27" s="14">
        <v>0.25</v>
      </c>
      <c r="B27" s="19">
        <f>(1-$B$2)*EXP(-$B$1*A27)*(EXP(-$B$6*A26)-EXP(-$B$6*A27))</f>
        <v>1.4906546241263531E-3</v>
      </c>
      <c r="C27" s="65"/>
      <c r="D27" s="65"/>
      <c r="E27" s="65"/>
      <c r="F27" s="65"/>
      <c r="G27" s="65"/>
      <c r="H27" s="65"/>
      <c r="I27" s="65"/>
      <c r="J27" s="65"/>
      <c r="K27" s="65"/>
      <c r="L27" s="65"/>
      <c r="M27" s="65"/>
    </row>
    <row r="28" spans="1:13" x14ac:dyDescent="0.25">
      <c r="A28" s="14">
        <v>0.5</v>
      </c>
      <c r="B28" s="19">
        <f t="shared" ref="B28:B38" si="1">(1-$B$2)*EXP(-$B$1*A28)*(EXP(-$B$6*A27)-EXP(-$B$6*A28))</f>
        <v>1.4795165344912329E-3</v>
      </c>
      <c r="C28" s="65"/>
      <c r="D28" s="65"/>
      <c r="E28" s="65"/>
      <c r="F28" s="65"/>
      <c r="G28" s="65"/>
      <c r="H28" s="65"/>
      <c r="I28" s="65"/>
      <c r="J28" s="65"/>
      <c r="K28" s="65"/>
      <c r="L28" s="65"/>
      <c r="M28" s="65"/>
    </row>
    <row r="29" spans="1:13" x14ac:dyDescent="0.25">
      <c r="A29" s="14">
        <v>0.75</v>
      </c>
      <c r="B29" s="19">
        <f t="shared" si="1"/>
        <v>1.4684616680513748E-3</v>
      </c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</row>
    <row r="30" spans="1:13" x14ac:dyDescent="0.25">
      <c r="A30" s="14">
        <v>1</v>
      </c>
      <c r="B30" s="19">
        <f t="shared" si="1"/>
        <v>1.4574894029674471E-3</v>
      </c>
      <c r="C30" s="65"/>
      <c r="D30" s="65"/>
      <c r="E30" s="65"/>
      <c r="F30" s="65"/>
      <c r="G30" s="65"/>
      <c r="H30" s="65"/>
      <c r="I30" s="65"/>
      <c r="J30" s="65"/>
      <c r="K30" s="65"/>
      <c r="L30" s="65"/>
      <c r="M30" s="65"/>
    </row>
    <row r="31" spans="1:13" x14ac:dyDescent="0.25">
      <c r="A31" s="14">
        <v>1.25</v>
      </c>
      <c r="B31" s="19">
        <f t="shared" si="1"/>
        <v>1.4465991220468501E-3</v>
      </c>
      <c r="C31" s="65"/>
      <c r="D31" s="65"/>
      <c r="E31" s="65"/>
      <c r="F31" s="65"/>
      <c r="G31" s="65"/>
      <c r="H31" s="65"/>
      <c r="I31" s="65"/>
      <c r="J31" s="65"/>
      <c r="K31" s="65"/>
      <c r="L31" s="65"/>
      <c r="M31" s="65"/>
    </row>
    <row r="32" spans="1:13" x14ac:dyDescent="0.25">
      <c r="A32" s="14">
        <v>1.5</v>
      </c>
      <c r="B32" s="19">
        <f t="shared" si="1"/>
        <v>1.4357902127082264E-3</v>
      </c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5"/>
    </row>
    <row r="33" spans="1:13" x14ac:dyDescent="0.25">
      <c r="A33" s="14">
        <v>1.75</v>
      </c>
      <c r="B33" s="19">
        <f t="shared" si="1"/>
        <v>1.4250620669476034E-3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</row>
    <row r="34" spans="1:13" x14ac:dyDescent="0.25">
      <c r="A34" s="14">
        <v>2</v>
      </c>
      <c r="B34" s="19">
        <f t="shared" si="1"/>
        <v>1.4144140813041333E-3</v>
      </c>
      <c r="C34" s="65"/>
      <c r="D34" s="65"/>
      <c r="E34" s="65"/>
      <c r="F34" s="65"/>
      <c r="G34" s="65"/>
      <c r="H34" s="65"/>
      <c r="I34" s="65"/>
      <c r="J34" s="65"/>
      <c r="K34" s="65"/>
      <c r="L34" s="65"/>
      <c r="M34" s="65"/>
    </row>
    <row r="35" spans="1:13" x14ac:dyDescent="0.25">
      <c r="A35" s="14">
        <v>2.25</v>
      </c>
      <c r="B35" s="19">
        <f t="shared" si="1"/>
        <v>1.4038456568255205E-3</v>
      </c>
      <c r="C35" s="65"/>
      <c r="D35" s="65"/>
      <c r="E35" s="65"/>
      <c r="F35" s="65"/>
      <c r="G35" s="65"/>
      <c r="H35" s="65"/>
      <c r="I35" s="65"/>
      <c r="J35" s="65"/>
      <c r="K35" s="65"/>
      <c r="L35" s="65"/>
      <c r="M35" s="65"/>
    </row>
    <row r="36" spans="1:13" x14ac:dyDescent="0.25">
      <c r="A36" s="14">
        <v>2.5</v>
      </c>
      <c r="B36" s="19">
        <f t="shared" si="1"/>
        <v>1.3933561990353636E-3</v>
      </c>
      <c r="C36" s="65"/>
      <c r="D36" s="65"/>
      <c r="E36" s="65"/>
      <c r="F36" s="65"/>
      <c r="G36" s="65"/>
      <c r="H36" s="65"/>
      <c r="I36" s="65"/>
      <c r="J36" s="65"/>
      <c r="K36" s="65"/>
      <c r="L36" s="65"/>
      <c r="M36" s="65"/>
    </row>
    <row r="37" spans="1:13" x14ac:dyDescent="0.25">
      <c r="A37" s="14">
        <v>2.75</v>
      </c>
      <c r="B37" s="19">
        <f t="shared" si="1"/>
        <v>1.3829451178987049E-3</v>
      </c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</row>
    <row r="38" spans="1:13" x14ac:dyDescent="0.25">
      <c r="A38" s="14">
        <v>3</v>
      </c>
      <c r="B38" s="19">
        <f t="shared" si="1"/>
        <v>1.372611827789677E-3</v>
      </c>
      <c r="C38" s="65"/>
      <c r="D38" s="65"/>
      <c r="E38" s="65"/>
      <c r="F38" s="65"/>
      <c r="G38" s="65"/>
      <c r="H38" s="65"/>
      <c r="I38" s="65"/>
      <c r="J38" s="65"/>
      <c r="K38" s="65"/>
      <c r="L38" s="65"/>
      <c r="M38" s="65"/>
    </row>
    <row r="39" spans="1:13" ht="15.75" thickBot="1" x14ac:dyDescent="0.3">
      <c r="A39" s="13" t="s">
        <v>136</v>
      </c>
      <c r="B39" s="47">
        <f>SUM(B27:B38)</f>
        <v>1.7170746514192484E-2</v>
      </c>
    </row>
    <row r="41" spans="1:13" x14ac:dyDescent="0.25">
      <c r="A41" s="15" t="s">
        <v>140</v>
      </c>
      <c r="B41" s="49">
        <f>B39/B22</f>
        <v>5.9925062460957045E-3</v>
      </c>
    </row>
    <row r="43" spans="1:13" x14ac:dyDescent="0.25">
      <c r="A43" s="2" t="s">
        <v>31</v>
      </c>
    </row>
    <row r="44" spans="1:13" x14ac:dyDescent="0.25">
      <c r="A44" s="53" t="s">
        <v>141</v>
      </c>
      <c r="B44" s="53"/>
      <c r="C44" s="53"/>
      <c r="D44" s="53"/>
      <c r="E44" s="53"/>
      <c r="F44" s="53"/>
    </row>
    <row r="45" spans="1:13" x14ac:dyDescent="0.25">
      <c r="A45" s="53" t="s">
        <v>142</v>
      </c>
      <c r="B45" s="53"/>
      <c r="C45" s="53"/>
      <c r="D45" s="53"/>
      <c r="E45" s="53"/>
      <c r="F45" s="53"/>
    </row>
    <row r="46" spans="1:13" x14ac:dyDescent="0.25">
      <c r="A46" s="48"/>
      <c r="B46" s="48"/>
    </row>
    <row r="47" spans="1:13" x14ac:dyDescent="0.25">
      <c r="A47" s="15" t="s">
        <v>38</v>
      </c>
      <c r="B47" s="15" t="s">
        <v>143</v>
      </c>
      <c r="C47" s="15" t="s">
        <v>144</v>
      </c>
      <c r="D47" s="15" t="s">
        <v>137</v>
      </c>
      <c r="E47" s="15" t="s">
        <v>146</v>
      </c>
    </row>
    <row r="48" spans="1:13" x14ac:dyDescent="0.25">
      <c r="A48" s="14">
        <v>0</v>
      </c>
      <c r="B48" s="19">
        <f>EXP(-$B$1*A48)</f>
        <v>1</v>
      </c>
      <c r="C48" s="19">
        <f>EXP(-$B$6*A48)</f>
        <v>1</v>
      </c>
      <c r="D48" s="19"/>
      <c r="E48" s="19"/>
    </row>
    <row r="49" spans="1:5" x14ac:dyDescent="0.25">
      <c r="A49" s="14">
        <v>0.25</v>
      </c>
      <c r="B49" s="19">
        <f t="shared" ref="B49:B68" si="2">EXP(-$B$1*A49)</f>
        <v>0.99501247919268232</v>
      </c>
      <c r="C49" s="19">
        <f t="shared" ref="C49:C60" si="3">EXP(-$B$6*A49)</f>
        <v>0.99750312239746008</v>
      </c>
      <c r="D49" s="19">
        <f>B49*C48/4</f>
        <v>0.24875311979817058</v>
      </c>
      <c r="E49" s="19">
        <f>(1-$B$2)*B49*(C48-C49)</f>
        <v>1.4906546241263531E-3</v>
      </c>
    </row>
    <row r="50" spans="1:5" x14ac:dyDescent="0.25">
      <c r="A50" s="14">
        <v>0.5</v>
      </c>
      <c r="B50" s="19">
        <f t="shared" si="2"/>
        <v>0.99004983374916811</v>
      </c>
      <c r="C50" s="19">
        <f t="shared" si="3"/>
        <v>0.99501247919268232</v>
      </c>
      <c r="D50" s="19">
        <f t="shared" ref="D50:D68" si="4">B50*C49/4</f>
        <v>0.24689445012347036</v>
      </c>
      <c r="E50" s="19">
        <f t="shared" ref="E50:E68" si="5">(1-$B$2)*B50*(C49-C50)</f>
        <v>1.4795165344912329E-3</v>
      </c>
    </row>
    <row r="51" spans="1:5" x14ac:dyDescent="0.25">
      <c r="A51" s="14">
        <v>0.75</v>
      </c>
      <c r="B51" s="19">
        <f t="shared" si="2"/>
        <v>0.98511193960306265</v>
      </c>
      <c r="C51" s="19">
        <f t="shared" si="3"/>
        <v>0.99252805481913842</v>
      </c>
      <c r="D51" s="19">
        <f t="shared" si="4"/>
        <v>0.24504966832668881</v>
      </c>
      <c r="E51" s="19">
        <f t="shared" si="5"/>
        <v>1.4684616680513748E-3</v>
      </c>
    </row>
    <row r="52" spans="1:5" x14ac:dyDescent="0.25">
      <c r="A52" s="14">
        <v>1</v>
      </c>
      <c r="B52" s="19">
        <f t="shared" si="2"/>
        <v>0.98019867330675525</v>
      </c>
      <c r="C52" s="19">
        <f t="shared" si="3"/>
        <v>0.99004983374916811</v>
      </c>
      <c r="D52" s="19">
        <f t="shared" si="4"/>
        <v>0.24321867063836347</v>
      </c>
      <c r="E52" s="19">
        <f t="shared" si="5"/>
        <v>1.4574894029674471E-3</v>
      </c>
    </row>
    <row r="53" spans="1:5" x14ac:dyDescent="0.25">
      <c r="A53" s="14">
        <v>1.25</v>
      </c>
      <c r="B53" s="19">
        <f t="shared" si="2"/>
        <v>0.97530991202833262</v>
      </c>
      <c r="C53" s="19">
        <f t="shared" si="3"/>
        <v>0.98757780049388144</v>
      </c>
      <c r="D53" s="19">
        <f t="shared" si="4"/>
        <v>0.24140135406439162</v>
      </c>
      <c r="E53" s="19">
        <f t="shared" si="5"/>
        <v>1.4465991220468501E-3</v>
      </c>
    </row>
    <row r="54" spans="1:5" x14ac:dyDescent="0.25">
      <c r="A54" s="14">
        <v>1.5</v>
      </c>
      <c r="B54" s="19">
        <f t="shared" si="2"/>
        <v>0.97044553354850815</v>
      </c>
      <c r="C54" s="19">
        <f t="shared" si="3"/>
        <v>0.98511193960306265</v>
      </c>
      <c r="D54" s="19">
        <f t="shared" si="4"/>
        <v>0.23959761638023672</v>
      </c>
      <c r="E54" s="19">
        <f t="shared" si="5"/>
        <v>1.4357902127082264E-3</v>
      </c>
    </row>
    <row r="55" spans="1:5" x14ac:dyDescent="0.25">
      <c r="A55" s="14">
        <v>1.75</v>
      </c>
      <c r="B55" s="19">
        <f t="shared" si="2"/>
        <v>0.96560541625756646</v>
      </c>
      <c r="C55" s="19">
        <f t="shared" si="3"/>
        <v>0.9826522356650732</v>
      </c>
      <c r="D55" s="19">
        <f t="shared" si="4"/>
        <v>0.2378073561251785</v>
      </c>
      <c r="E55" s="19">
        <f t="shared" si="5"/>
        <v>1.4250620669476034E-3</v>
      </c>
    </row>
    <row r="56" spans="1:5" x14ac:dyDescent="0.25">
      <c r="A56" s="14">
        <v>2</v>
      </c>
      <c r="B56" s="19">
        <f t="shared" si="2"/>
        <v>0.96078943915232318</v>
      </c>
      <c r="C56" s="19">
        <f t="shared" si="3"/>
        <v>0.98019867330675525</v>
      </c>
      <c r="D56" s="19">
        <f t="shared" si="4"/>
        <v>0.23603047259660553</v>
      </c>
      <c r="E56" s="19">
        <f t="shared" si="5"/>
        <v>1.4144140813041333E-3</v>
      </c>
    </row>
    <row r="57" spans="1:5" x14ac:dyDescent="0.25">
      <c r="A57" s="14">
        <v>2.25</v>
      </c>
      <c r="B57" s="19">
        <f t="shared" si="2"/>
        <v>0.95599748183309996</v>
      </c>
      <c r="C57" s="19">
        <f t="shared" si="3"/>
        <v>0.97775123719333634</v>
      </c>
      <c r="D57" s="19">
        <f t="shared" si="4"/>
        <v>0.23426686584435086</v>
      </c>
      <c r="E57" s="19">
        <f t="shared" si="5"/>
        <v>1.4038456568255205E-3</v>
      </c>
    </row>
    <row r="58" spans="1:5" x14ac:dyDescent="0.25">
      <c r="A58" s="14">
        <v>2.5</v>
      </c>
      <c r="B58" s="19">
        <f t="shared" si="2"/>
        <v>0.95122942450071402</v>
      </c>
      <c r="C58" s="19">
        <f t="shared" si="3"/>
        <v>0.97530991202833262</v>
      </c>
      <c r="D58" s="19">
        <f t="shared" si="4"/>
        <v>0.2325164366650696</v>
      </c>
      <c r="E58" s="19">
        <f t="shared" si="5"/>
        <v>1.3933561990353636E-3</v>
      </c>
    </row>
    <row r="59" spans="1:5" x14ac:dyDescent="0.25">
      <c r="A59" s="14">
        <v>2.75</v>
      </c>
      <c r="B59" s="19">
        <f t="shared" si="2"/>
        <v>0.94648514795348382</v>
      </c>
      <c r="C59" s="19">
        <f t="shared" si="3"/>
        <v>0.972874682553454</v>
      </c>
      <c r="D59" s="19">
        <f t="shared" si="4"/>
        <v>0.23077908659665891</v>
      </c>
      <c r="E59" s="19">
        <f t="shared" si="5"/>
        <v>1.3829451178987049E-3</v>
      </c>
    </row>
    <row r="60" spans="1:5" x14ac:dyDescent="0.25">
      <c r="A60" s="14">
        <v>3</v>
      </c>
      <c r="B60" s="19">
        <f t="shared" si="2"/>
        <v>0.94176453358424872</v>
      </c>
      <c r="C60" s="19">
        <f t="shared" si="3"/>
        <v>0.97044553354850815</v>
      </c>
      <c r="D60" s="19">
        <f t="shared" si="4"/>
        <v>0.22905471791271942</v>
      </c>
      <c r="E60" s="19">
        <f t="shared" si="5"/>
        <v>1.372611827789677E-3</v>
      </c>
    </row>
    <row r="61" spans="1:5" x14ac:dyDescent="0.25">
      <c r="A61" s="14">
        <v>3.25</v>
      </c>
      <c r="B61" s="19">
        <f t="shared" si="2"/>
        <v>0.93706746337740343</v>
      </c>
      <c r="C61" s="19">
        <v>0.970445534</v>
      </c>
      <c r="D61" s="19">
        <f t="shared" si="4"/>
        <v>0.22734323361705785</v>
      </c>
      <c r="E61" s="19">
        <f t="shared" si="5"/>
        <v>-2.5384699014576043E-10</v>
      </c>
    </row>
    <row r="62" spans="1:5" x14ac:dyDescent="0.25">
      <c r="A62" s="14">
        <v>3.5</v>
      </c>
      <c r="B62" s="19">
        <f t="shared" si="2"/>
        <v>0.93239381990594827</v>
      </c>
      <c r="C62" s="19">
        <v>0.970445534</v>
      </c>
      <c r="D62" s="19">
        <f t="shared" si="4"/>
        <v>0.22620935461423194</v>
      </c>
      <c r="E62" s="19">
        <f t="shared" si="5"/>
        <v>0</v>
      </c>
    </row>
    <row r="63" spans="1:5" x14ac:dyDescent="0.25">
      <c r="A63" s="14">
        <v>3.75</v>
      </c>
      <c r="B63" s="19">
        <f t="shared" si="2"/>
        <v>0.92774348632855286</v>
      </c>
      <c r="C63" s="19">
        <v>0.970445534</v>
      </c>
      <c r="D63" s="19">
        <f t="shared" si="4"/>
        <v>0.22508113075128355</v>
      </c>
      <c r="E63" s="19">
        <f t="shared" si="5"/>
        <v>0</v>
      </c>
    </row>
    <row r="64" spans="1:5" x14ac:dyDescent="0.25">
      <c r="A64" s="14">
        <v>4</v>
      </c>
      <c r="B64" s="19">
        <f t="shared" si="2"/>
        <v>0.92311634638663576</v>
      </c>
      <c r="C64" s="19">
        <v>0.970445534</v>
      </c>
      <c r="D64" s="19">
        <f t="shared" si="4"/>
        <v>0.22395853392832693</v>
      </c>
      <c r="E64" s="19">
        <f t="shared" si="5"/>
        <v>0</v>
      </c>
    </row>
    <row r="65" spans="1:5" x14ac:dyDescent="0.25">
      <c r="A65" s="14">
        <v>4.25</v>
      </c>
      <c r="B65" s="19">
        <f t="shared" si="2"/>
        <v>0.91851228440145738</v>
      </c>
      <c r="C65" s="19">
        <v>0.970445534</v>
      </c>
      <c r="D65" s="19">
        <f t="shared" si="4"/>
        <v>0.22284153608038304</v>
      </c>
      <c r="E65" s="19">
        <f t="shared" si="5"/>
        <v>0</v>
      </c>
    </row>
    <row r="66" spans="1:5" x14ac:dyDescent="0.25">
      <c r="A66" s="14">
        <v>4.5</v>
      </c>
      <c r="B66" s="19">
        <f t="shared" si="2"/>
        <v>0.91393118527122819</v>
      </c>
      <c r="C66" s="19">
        <v>0.970445534</v>
      </c>
      <c r="D66" s="19">
        <f t="shared" si="4"/>
        <v>0.22173010928244749</v>
      </c>
      <c r="E66" s="19">
        <f t="shared" si="5"/>
        <v>0</v>
      </c>
    </row>
    <row r="67" spans="1:5" x14ac:dyDescent="0.25">
      <c r="A67" s="14">
        <v>4.75</v>
      </c>
      <c r="B67" s="19">
        <f t="shared" si="2"/>
        <v>0.90937293446823142</v>
      </c>
      <c r="C67" s="19">
        <v>0.970445534</v>
      </c>
      <c r="D67" s="19">
        <f t="shared" si="4"/>
        <v>0.22062422574879245</v>
      </c>
      <c r="E67" s="19">
        <f t="shared" si="5"/>
        <v>0</v>
      </c>
    </row>
    <row r="68" spans="1:5" x14ac:dyDescent="0.25">
      <c r="A68" s="14">
        <v>5</v>
      </c>
      <c r="B68" s="19">
        <f t="shared" si="2"/>
        <v>0.90483741803595952</v>
      </c>
      <c r="C68" s="19">
        <v>0.970445534</v>
      </c>
      <c r="D68" s="19">
        <f t="shared" si="4"/>
        <v>0.21952385783227199</v>
      </c>
      <c r="E68" s="19">
        <f t="shared" si="5"/>
        <v>0</v>
      </c>
    </row>
    <row r="69" spans="1:5" x14ac:dyDescent="0.25">
      <c r="D69" s="47">
        <f>SUM(D49:D68)</f>
        <v>4.6526817969266991</v>
      </c>
      <c r="E69" s="47">
        <f>SUM(E49:E68)</f>
        <v>1.7170746260345496E-2</v>
      </c>
    </row>
    <row r="70" spans="1:5" x14ac:dyDescent="0.25">
      <c r="D70" s="22" t="s">
        <v>145</v>
      </c>
      <c r="E70" s="49">
        <f>E69/D69</f>
        <v>3.6905051773984477E-3</v>
      </c>
    </row>
  </sheetData>
  <mergeCells count="5">
    <mergeCell ref="A44:F44"/>
    <mergeCell ref="A45:F45"/>
    <mergeCell ref="A7:B7"/>
    <mergeCell ref="A24:B24"/>
    <mergeCell ref="C10:M3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Exercise1</vt:lpstr>
      <vt:lpstr>Exercise2</vt:lpstr>
      <vt:lpstr>Exercise3</vt:lpstr>
      <vt:lpstr>Exercise4</vt:lpstr>
      <vt:lpstr>Exercise5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Gye Hyun Baek</dc:creator>
  <cp:lastModifiedBy>quan</cp:lastModifiedBy>
  <dcterms:created xsi:type="dcterms:W3CDTF">2015-10-15T12:40:51Z</dcterms:created>
  <dcterms:modified xsi:type="dcterms:W3CDTF">2015-10-18T16:18:43Z</dcterms:modified>
</cp:coreProperties>
</file>