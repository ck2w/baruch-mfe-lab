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quan\Documents\Baruch MFE\MTH9814\HW3\Revised\"/>
    </mc:Choice>
  </mc:AlternateContent>
  <bookViews>
    <workbookView xWindow="0" yWindow="0" windowWidth="19200" windowHeight="8292"/>
  </bookViews>
  <sheets>
    <sheet name="Application Part (i)" sheetId="1" r:id="rId1"/>
    <sheet name="Application Part (ii)" sheetId="2" r:id="rId2"/>
    <sheet name="Application Part (iii)" sheetId="3" r:id="rId3"/>
    <sheet name="Application Part (iv)-part(a)" sheetId="4" r:id="rId4"/>
    <sheet name="Application Part (iv)-part(b)" sheetId="5" r:id="rId5"/>
    <sheet name="Application Part (iv)-part(c)" sheetId="6" r:id="rId6"/>
  </sheets>
  <functionGroups builtInGroupCount="18"/>
  <definedNames>
    <definedName name="euribor_zero_rates">'Application Part (ii)'!$H$2:$I$61</definedName>
    <definedName name="ois_zero_rates">'Application Part (i)'!$F$2:$G$61</definedName>
  </definedNames>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 i="6" l="1"/>
  <c r="K10" i="4"/>
  <c r="K9" i="4" a="1"/>
  <c r="K9" i="4"/>
  <c r="K11" i="4"/>
  <c r="K12" i="4"/>
  <c r="K13" i="4"/>
  <c r="K14" i="4"/>
  <c r="K15" i="4"/>
  <c r="K16" i="4"/>
  <c r="K17" i="4"/>
  <c r="C2" i="2" a="1"/>
  <c r="C2" i="2"/>
  <c r="C3" i="2"/>
  <c r="C4" i="2"/>
  <c r="C5" i="2"/>
  <c r="C6" i="2"/>
  <c r="C7" i="2"/>
  <c r="C8" i="2"/>
  <c r="C9" i="2"/>
  <c r="C10" i="2"/>
  <c r="C2" i="1" a="1"/>
  <c r="C2" i="1"/>
  <c r="C3" i="1"/>
  <c r="C4" i="1"/>
  <c r="C5" i="1"/>
  <c r="C6" i="1"/>
  <c r="C7" i="1"/>
  <c r="C8" i="1"/>
  <c r="C9" i="1"/>
  <c r="C10" i="1"/>
  <c r="Q41" i="6" l="1"/>
  <c r="J41" i="6"/>
  <c r="C41" i="6"/>
  <c r="P41" i="6" s="1"/>
  <c r="Q40" i="6"/>
  <c r="J40" i="6"/>
  <c r="C40" i="6"/>
  <c r="P40" i="6" s="1"/>
  <c r="Q39" i="6"/>
  <c r="J39" i="6"/>
  <c r="C39" i="6"/>
  <c r="I39" i="6" s="1"/>
  <c r="Q38" i="6"/>
  <c r="J38" i="6"/>
  <c r="C38" i="6"/>
  <c r="P38" i="6" s="1"/>
  <c r="Q37" i="6"/>
  <c r="J37" i="6"/>
  <c r="C37" i="6"/>
  <c r="P37" i="6" s="1"/>
  <c r="Q36" i="6"/>
  <c r="J36" i="6"/>
  <c r="C36" i="6"/>
  <c r="P36" i="6" s="1"/>
  <c r="Q35" i="6"/>
  <c r="J35" i="6"/>
  <c r="C35" i="6"/>
  <c r="P35" i="6" s="1"/>
  <c r="Q34" i="6"/>
  <c r="J34" i="6"/>
  <c r="C34" i="6"/>
  <c r="P34" i="6" s="1"/>
  <c r="Q33" i="6"/>
  <c r="J33" i="6"/>
  <c r="C33" i="6"/>
  <c r="P33" i="6" s="1"/>
  <c r="Q28" i="6"/>
  <c r="J28" i="6"/>
  <c r="C28" i="6"/>
  <c r="P28" i="6" s="1"/>
  <c r="Q27" i="6"/>
  <c r="J27" i="6"/>
  <c r="C27" i="6"/>
  <c r="P27" i="6" s="1"/>
  <c r="Q26" i="6"/>
  <c r="J26" i="6"/>
  <c r="C26" i="6"/>
  <c r="P26" i="6" s="1"/>
  <c r="Q25" i="6"/>
  <c r="J25" i="6"/>
  <c r="C25" i="6"/>
  <c r="P25" i="6" s="1"/>
  <c r="Q24" i="6"/>
  <c r="J24" i="6"/>
  <c r="C24" i="6"/>
  <c r="P24" i="6" s="1"/>
  <c r="Q23" i="6"/>
  <c r="J23" i="6"/>
  <c r="C23" i="6"/>
  <c r="P23" i="6" s="1"/>
  <c r="Q22" i="6"/>
  <c r="J22" i="6"/>
  <c r="C22" i="6"/>
  <c r="P22" i="6" s="1"/>
  <c r="Q21" i="6"/>
  <c r="J21" i="6"/>
  <c r="C21" i="6"/>
  <c r="P21" i="6" s="1"/>
  <c r="Q20" i="6"/>
  <c r="J20" i="6"/>
  <c r="C20" i="6"/>
  <c r="P20" i="6" s="1"/>
  <c r="C33" i="5"/>
  <c r="R41" i="6"/>
  <c r="R11" i="6"/>
  <c r="R9" i="6"/>
  <c r="E15" i="6"/>
  <c r="E36" i="6"/>
  <c r="E24" i="6"/>
  <c r="E13" i="6"/>
  <c r="K8" i="6"/>
  <c r="E33" i="6"/>
  <c r="R8" i="6"/>
  <c r="R34" i="6"/>
  <c r="R22" i="6"/>
  <c r="K7" i="6"/>
  <c r="K14" i="6"/>
  <c r="K10" i="6"/>
  <c r="R35" i="6"/>
  <c r="R27" i="6"/>
  <c r="R23" i="6"/>
  <c r="R15" i="6"/>
  <c r="E10" i="6"/>
  <c r="E39" i="6"/>
  <c r="E11" i="6"/>
  <c r="E34" i="6"/>
  <c r="E22" i="6"/>
  <c r="K12" i="6"/>
  <c r="K15" i="6"/>
  <c r="E25" i="6"/>
  <c r="R40" i="6"/>
  <c r="R28" i="6"/>
  <c r="R20" i="6"/>
  <c r="E41" i="6"/>
  <c r="K39" i="6"/>
  <c r="E14" i="6"/>
  <c r="K9" i="6"/>
  <c r="E37" i="6"/>
  <c r="E40" i="6"/>
  <c r="E28" i="6"/>
  <c r="E20" i="6"/>
  <c r="R10" i="6"/>
  <c r="E12" i="6"/>
  <c r="E21" i="6"/>
  <c r="R38" i="6"/>
  <c r="R26" i="6"/>
  <c r="R13" i="6"/>
  <c r="E35" i="6"/>
  <c r="E7" i="6"/>
  <c r="R37" i="6"/>
  <c r="R33" i="6"/>
  <c r="R25" i="6"/>
  <c r="R21" i="6"/>
  <c r="R7" i="6"/>
  <c r="E23" i="6"/>
  <c r="E38" i="6"/>
  <c r="E26" i="6"/>
  <c r="R14" i="6"/>
  <c r="E9" i="6"/>
  <c r="E8" i="6"/>
  <c r="R12" i="6"/>
  <c r="R36" i="6"/>
  <c r="R24" i="6"/>
  <c r="K11" i="6"/>
  <c r="E27" i="6"/>
  <c r="I21" i="6" l="1"/>
  <c r="I23" i="6"/>
  <c r="I25" i="6"/>
  <c r="I27" i="6"/>
  <c r="I33" i="6"/>
  <c r="I35" i="6"/>
  <c r="I37" i="6"/>
  <c r="P39" i="6"/>
  <c r="L10" i="6"/>
  <c r="L14" i="6"/>
  <c r="L7" i="6"/>
  <c r="L11" i="6"/>
  <c r="S13" i="6"/>
  <c r="S20" i="6"/>
  <c r="S22" i="6"/>
  <c r="S24" i="6"/>
  <c r="S26" i="6"/>
  <c r="S28" i="6"/>
  <c r="S34" i="6"/>
  <c r="S36" i="6"/>
  <c r="S38" i="6"/>
  <c r="S40" i="6"/>
  <c r="S8" i="6"/>
  <c r="S12" i="6"/>
  <c r="L15" i="6"/>
  <c r="L8" i="6"/>
  <c r="S10" i="6"/>
  <c r="L12" i="6"/>
  <c r="S14" i="6"/>
  <c r="S9" i="6"/>
  <c r="S7" i="6"/>
  <c r="L9" i="6"/>
  <c r="S11" i="6"/>
  <c r="L13" i="6"/>
  <c r="S15" i="6"/>
  <c r="S21" i="6"/>
  <c r="S23" i="6"/>
  <c r="S25" i="6"/>
  <c r="S27" i="6"/>
  <c r="S33" i="6"/>
  <c r="S35" i="6"/>
  <c r="S37" i="6"/>
  <c r="L39" i="6"/>
  <c r="S41" i="6"/>
  <c r="I41" i="6"/>
  <c r="I20" i="6"/>
  <c r="I22" i="6"/>
  <c r="I24" i="6"/>
  <c r="I26" i="6"/>
  <c r="I28" i="6"/>
  <c r="I34" i="6"/>
  <c r="I36" i="6"/>
  <c r="I38" i="6"/>
  <c r="I40" i="6"/>
  <c r="Q41" i="5"/>
  <c r="J41" i="5"/>
  <c r="C41" i="5"/>
  <c r="P41" i="5" s="1"/>
  <c r="Q40" i="5"/>
  <c r="J40" i="5"/>
  <c r="C40" i="5"/>
  <c r="P40" i="5" s="1"/>
  <c r="Q39" i="5"/>
  <c r="J39" i="5"/>
  <c r="C39" i="5"/>
  <c r="P39" i="5" s="1"/>
  <c r="Q38" i="5"/>
  <c r="J38" i="5"/>
  <c r="C38" i="5"/>
  <c r="P38" i="5" s="1"/>
  <c r="Q37" i="5"/>
  <c r="J37" i="5"/>
  <c r="C37" i="5"/>
  <c r="P37" i="5" s="1"/>
  <c r="Q36" i="5"/>
  <c r="J36" i="5"/>
  <c r="C36" i="5"/>
  <c r="P36" i="5" s="1"/>
  <c r="Q35" i="5"/>
  <c r="J35" i="5"/>
  <c r="C35" i="5"/>
  <c r="P35" i="5" s="1"/>
  <c r="Q34" i="5"/>
  <c r="J34" i="5"/>
  <c r="C34" i="5"/>
  <c r="P34" i="5" s="1"/>
  <c r="Q33" i="5"/>
  <c r="J33" i="5"/>
  <c r="P33" i="5"/>
  <c r="Q28" i="5"/>
  <c r="J28" i="5"/>
  <c r="C28" i="5"/>
  <c r="P28" i="5" s="1"/>
  <c r="Q27" i="5"/>
  <c r="J27" i="5"/>
  <c r="C27" i="5"/>
  <c r="P27" i="5" s="1"/>
  <c r="Q26" i="5"/>
  <c r="J26" i="5"/>
  <c r="C26" i="5"/>
  <c r="P26" i="5" s="1"/>
  <c r="Q25" i="5"/>
  <c r="J25" i="5"/>
  <c r="C25" i="5"/>
  <c r="P25" i="5" s="1"/>
  <c r="Q24" i="5"/>
  <c r="J24" i="5"/>
  <c r="C24" i="5"/>
  <c r="P24" i="5" s="1"/>
  <c r="Q23" i="5"/>
  <c r="J23" i="5"/>
  <c r="C23" i="5"/>
  <c r="P23" i="5" s="1"/>
  <c r="Q22" i="5"/>
  <c r="J22" i="5"/>
  <c r="C22" i="5"/>
  <c r="P22" i="5" s="1"/>
  <c r="Q21" i="5"/>
  <c r="J21" i="5"/>
  <c r="C21" i="5"/>
  <c r="P21" i="5" s="1"/>
  <c r="Q20" i="5"/>
  <c r="J20" i="5"/>
  <c r="C20" i="5"/>
  <c r="P20" i="5" s="1"/>
  <c r="K21" i="6"/>
  <c r="K33" i="6"/>
  <c r="K41" i="6"/>
  <c r="K34" i="6"/>
  <c r="K22" i="6"/>
  <c r="K23" i="6"/>
  <c r="K35" i="6"/>
  <c r="K26" i="6"/>
  <c r="K36" i="6"/>
  <c r="K25" i="6"/>
  <c r="K37" i="6"/>
  <c r="K38" i="6"/>
  <c r="K20" i="6"/>
  <c r="K24" i="6"/>
  <c r="K27" i="6"/>
  <c r="R39" i="6"/>
  <c r="K28" i="6"/>
  <c r="K40" i="6"/>
  <c r="R37" i="5"/>
  <c r="R25" i="5"/>
  <c r="E14" i="5"/>
  <c r="K9" i="5"/>
  <c r="R20" i="5"/>
  <c r="E41" i="5"/>
  <c r="E25" i="5"/>
  <c r="K10" i="5"/>
  <c r="E36" i="5"/>
  <c r="E24" i="5"/>
  <c r="E13" i="5"/>
  <c r="K8" i="5"/>
  <c r="R34" i="5"/>
  <c r="E12" i="5"/>
  <c r="E33" i="5"/>
  <c r="R8" i="5"/>
  <c r="E34" i="5"/>
  <c r="K12" i="5"/>
  <c r="R28" i="5"/>
  <c r="E23" i="5"/>
  <c r="R33" i="5"/>
  <c r="R21" i="5"/>
  <c r="K11" i="5"/>
  <c r="K14" i="5"/>
  <c r="E28" i="5"/>
  <c r="R10" i="5"/>
  <c r="R22" i="5"/>
  <c r="E15" i="5"/>
  <c r="R39" i="5"/>
  <c r="R15" i="5"/>
  <c r="R24" i="5"/>
  <c r="E27" i="5"/>
  <c r="E38" i="5"/>
  <c r="R14" i="5"/>
  <c r="R36" i="5"/>
  <c r="E39" i="5"/>
  <c r="E11" i="5"/>
  <c r="R35" i="5"/>
  <c r="R23" i="5"/>
  <c r="K13" i="5"/>
  <c r="R7" i="5"/>
  <c r="R13" i="5"/>
  <c r="E37" i="5"/>
  <c r="E21" i="5"/>
  <c r="E7" i="5"/>
  <c r="E22" i="5"/>
  <c r="R40" i="5"/>
  <c r="R9" i="5"/>
  <c r="R41" i="5"/>
  <c r="R11" i="5"/>
  <c r="R26" i="5"/>
  <c r="E35" i="5"/>
  <c r="E40" i="5"/>
  <c r="E20" i="5"/>
  <c r="R38" i="5"/>
  <c r="K7" i="5"/>
  <c r="R27" i="5"/>
  <c r="E10" i="5"/>
  <c r="E8" i="5"/>
  <c r="R12" i="5"/>
  <c r="E26" i="5"/>
  <c r="E9" i="5"/>
  <c r="K15" i="5"/>
  <c r="S39" i="6" l="1"/>
  <c r="L27" i="6"/>
  <c r="L37" i="6"/>
  <c r="L25" i="6"/>
  <c r="L35" i="6"/>
  <c r="L23" i="6"/>
  <c r="L33" i="6"/>
  <c r="L21" i="6"/>
  <c r="L24" i="6"/>
  <c r="L22" i="6"/>
  <c r="L40" i="6"/>
  <c r="L20" i="6"/>
  <c r="L36" i="6"/>
  <c r="L34" i="6"/>
  <c r="L28" i="6"/>
  <c r="L38" i="6"/>
  <c r="L26" i="6"/>
  <c r="L41" i="6"/>
  <c r="I23" i="5"/>
  <c r="I25" i="5"/>
  <c r="I21" i="5"/>
  <c r="I33" i="5"/>
  <c r="I27" i="5"/>
  <c r="I39" i="5"/>
  <c r="I41" i="5"/>
  <c r="I37" i="5"/>
  <c r="I35" i="5"/>
  <c r="S8" i="5"/>
  <c r="L7" i="5"/>
  <c r="S9" i="5"/>
  <c r="L15" i="5"/>
  <c r="S22" i="5"/>
  <c r="S28" i="5"/>
  <c r="S34" i="5"/>
  <c r="S36" i="5"/>
  <c r="S38" i="5"/>
  <c r="S40" i="5"/>
  <c r="L8" i="5"/>
  <c r="S10" i="5"/>
  <c r="L12" i="5"/>
  <c r="S14" i="5"/>
  <c r="L10" i="5"/>
  <c r="S12" i="5"/>
  <c r="L14" i="5"/>
  <c r="L11" i="5"/>
  <c r="S13" i="5"/>
  <c r="S20" i="5"/>
  <c r="S24" i="5"/>
  <c r="S26" i="5"/>
  <c r="S7" i="5"/>
  <c r="L9" i="5"/>
  <c r="S11" i="5"/>
  <c r="L13" i="5"/>
  <c r="S15" i="5"/>
  <c r="S21" i="5"/>
  <c r="S23" i="5"/>
  <c r="S25" i="5"/>
  <c r="S27" i="5"/>
  <c r="S33" i="5"/>
  <c r="S35" i="5"/>
  <c r="S37" i="5"/>
  <c r="S39" i="5"/>
  <c r="S41" i="5"/>
  <c r="I20" i="5"/>
  <c r="I22" i="5"/>
  <c r="I24" i="5"/>
  <c r="I26" i="5"/>
  <c r="I28" i="5"/>
  <c r="I34" i="5"/>
  <c r="I36" i="5"/>
  <c r="I38" i="5"/>
  <c r="I40" i="5"/>
  <c r="Q43" i="4"/>
  <c r="Q42" i="4"/>
  <c r="Q41" i="4"/>
  <c r="Q40" i="4"/>
  <c r="Q39" i="4"/>
  <c r="Q38" i="4"/>
  <c r="Q37" i="4"/>
  <c r="Q36" i="4"/>
  <c r="Q35" i="4"/>
  <c r="J43" i="4"/>
  <c r="J42" i="4"/>
  <c r="J41" i="4"/>
  <c r="J40" i="4"/>
  <c r="J39" i="4"/>
  <c r="J38" i="4"/>
  <c r="J37" i="4"/>
  <c r="J36" i="4"/>
  <c r="J35" i="4"/>
  <c r="C36" i="4"/>
  <c r="I36" i="4" s="1"/>
  <c r="C37" i="4"/>
  <c r="I37" i="4" s="1"/>
  <c r="C38" i="4"/>
  <c r="I38" i="4" s="1"/>
  <c r="C39" i="4"/>
  <c r="I39" i="4" s="1"/>
  <c r="C40" i="4"/>
  <c r="I40" i="4" s="1"/>
  <c r="C41" i="4"/>
  <c r="I41" i="4" s="1"/>
  <c r="C42" i="4"/>
  <c r="I42" i="4" s="1"/>
  <c r="C43" i="4"/>
  <c r="I43" i="4" s="1"/>
  <c r="C35" i="4"/>
  <c r="I35" i="4" s="1"/>
  <c r="Q23" i="4"/>
  <c r="Q24" i="4"/>
  <c r="Q25" i="4"/>
  <c r="Q26" i="4"/>
  <c r="Q27" i="4"/>
  <c r="Q28" i="4"/>
  <c r="Q29" i="4"/>
  <c r="Q30" i="4"/>
  <c r="Q22" i="4"/>
  <c r="J23" i="4"/>
  <c r="J24" i="4"/>
  <c r="J25" i="4"/>
  <c r="J26" i="4"/>
  <c r="J27" i="4"/>
  <c r="J28" i="4"/>
  <c r="J29" i="4"/>
  <c r="J30" i="4"/>
  <c r="J22" i="4"/>
  <c r="C23" i="4"/>
  <c r="I23" i="4" s="1"/>
  <c r="C24" i="4"/>
  <c r="I24" i="4" s="1"/>
  <c r="C25" i="4"/>
  <c r="I25" i="4" s="1"/>
  <c r="C26" i="4"/>
  <c r="I26" i="4" s="1"/>
  <c r="C27" i="4"/>
  <c r="I27" i="4" s="1"/>
  <c r="C28" i="4"/>
  <c r="I28" i="4" s="1"/>
  <c r="C29" i="4"/>
  <c r="I29" i="4" s="1"/>
  <c r="C30" i="4"/>
  <c r="P30" i="4" s="1"/>
  <c r="C22" i="4"/>
  <c r="I22" i="4" s="1"/>
  <c r="K21" i="5"/>
  <c r="K41" i="5"/>
  <c r="K38" i="5"/>
  <c r="K28" i="5"/>
  <c r="K22" i="5"/>
  <c r="K39" i="5"/>
  <c r="K24" i="5"/>
  <c r="K27" i="5"/>
  <c r="K37" i="5"/>
  <c r="K40" i="5"/>
  <c r="K25" i="5"/>
  <c r="K20" i="5"/>
  <c r="K23" i="5"/>
  <c r="K33" i="5"/>
  <c r="K35" i="5"/>
  <c r="K36" i="5"/>
  <c r="K34" i="5"/>
  <c r="K26" i="5"/>
  <c r="K43" i="4"/>
  <c r="K36" i="4"/>
  <c r="K38" i="4"/>
  <c r="E39" i="4"/>
  <c r="E41" i="4"/>
  <c r="K25" i="4"/>
  <c r="K23" i="4"/>
  <c r="E23" i="4"/>
  <c r="E26" i="4"/>
  <c r="K37" i="4"/>
  <c r="K29" i="4"/>
  <c r="E24" i="4"/>
  <c r="K39" i="4"/>
  <c r="K42" i="4"/>
  <c r="E40" i="4"/>
  <c r="E35" i="4"/>
  <c r="E37" i="4"/>
  <c r="K28" i="4"/>
  <c r="K26" i="4"/>
  <c r="E22" i="4"/>
  <c r="E29" i="4"/>
  <c r="E43" i="4"/>
  <c r="K27" i="4"/>
  <c r="E30" i="4"/>
  <c r="K35" i="4"/>
  <c r="K41" i="4"/>
  <c r="E36" i="4"/>
  <c r="E42" i="4"/>
  <c r="R30" i="4"/>
  <c r="K24" i="4"/>
  <c r="K22" i="4"/>
  <c r="E28" i="4"/>
  <c r="E25" i="4"/>
  <c r="K40" i="4"/>
  <c r="E38" i="4"/>
  <c r="E27" i="4"/>
  <c r="L23" i="5" l="1"/>
  <c r="L25" i="5"/>
  <c r="L33" i="5"/>
  <c r="L27" i="5"/>
  <c r="L21" i="5"/>
  <c r="L35" i="5"/>
  <c r="L37" i="5"/>
  <c r="L41" i="5"/>
  <c r="L39" i="5"/>
  <c r="L24" i="5"/>
  <c r="L34" i="5"/>
  <c r="L40" i="5"/>
  <c r="L28" i="5"/>
  <c r="L20" i="5"/>
  <c r="L36" i="5"/>
  <c r="L22" i="5"/>
  <c r="L38" i="5"/>
  <c r="L26" i="5"/>
  <c r="S30" i="4"/>
  <c r="L22" i="4"/>
  <c r="L26" i="4"/>
  <c r="L23" i="4"/>
  <c r="L27" i="4"/>
  <c r="L24" i="4"/>
  <c r="L28" i="4"/>
  <c r="L25" i="4"/>
  <c r="L29" i="4"/>
  <c r="L38" i="4"/>
  <c r="L37" i="4"/>
  <c r="L41" i="4"/>
  <c r="L42" i="4"/>
  <c r="L36" i="4"/>
  <c r="L40" i="4"/>
  <c r="L35" i="4"/>
  <c r="L39" i="4"/>
  <c r="L43" i="4"/>
  <c r="P36" i="4"/>
  <c r="P40" i="4"/>
  <c r="P35" i="4"/>
  <c r="P39" i="4"/>
  <c r="P43" i="4"/>
  <c r="P38" i="4"/>
  <c r="P42" i="4"/>
  <c r="P37" i="4"/>
  <c r="P41" i="4"/>
  <c r="P26" i="4"/>
  <c r="I30" i="4"/>
  <c r="P28" i="4"/>
  <c r="P22" i="4"/>
  <c r="P29" i="4"/>
  <c r="P27" i="4"/>
  <c r="P25" i="4"/>
  <c r="P23" i="4"/>
  <c r="P24" i="4"/>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R35" i="4"/>
  <c r="R43" i="4"/>
  <c r="R26" i="4"/>
  <c r="R24" i="4"/>
  <c r="R29" i="4"/>
  <c r="R13" i="4"/>
  <c r="R16" i="4"/>
  <c r="E16" i="4"/>
  <c r="E10" i="4"/>
  <c r="E9" i="4"/>
  <c r="R37" i="4"/>
  <c r="R40" i="4"/>
  <c r="R41" i="4"/>
  <c r="K30" i="4"/>
  <c r="R27" i="4"/>
  <c r="R10" i="4"/>
  <c r="R11" i="4"/>
  <c r="R17" i="4"/>
  <c r="E14" i="4"/>
  <c r="R42" i="4"/>
  <c r="R23" i="4"/>
  <c r="R12" i="4"/>
  <c r="E12" i="4"/>
  <c r="E15" i="4"/>
  <c r="R39" i="4"/>
  <c r="R38" i="4"/>
  <c r="R28" i="4"/>
  <c r="R22" i="4"/>
  <c r="R14" i="4"/>
  <c r="R15" i="4"/>
  <c r="E13" i="4"/>
  <c r="E11" i="4"/>
  <c r="R36" i="4"/>
  <c r="R25" i="4"/>
  <c r="R9" i="4"/>
  <c r="E17" i="4"/>
  <c r="C2" i="3" a="1"/>
  <c r="B2" i="3" a="1"/>
  <c r="S29" i="4" l="1"/>
  <c r="S23" i="4"/>
  <c r="S22" i="4"/>
  <c r="S27" i="4"/>
  <c r="S24" i="4"/>
  <c r="S25" i="4"/>
  <c r="S28" i="4"/>
  <c r="S26" i="4"/>
  <c r="S42" i="4"/>
  <c r="S38" i="4"/>
  <c r="S41" i="4"/>
  <c r="S43" i="4"/>
  <c r="S37" i="4"/>
  <c r="S39" i="4"/>
  <c r="S40" i="4"/>
  <c r="S35" i="4"/>
  <c r="S36" i="4"/>
  <c r="L30" i="4"/>
  <c r="S17" i="4"/>
  <c r="S16" i="4"/>
  <c r="S12" i="4"/>
  <c r="S15" i="4"/>
  <c r="S11" i="4"/>
  <c r="S13" i="4"/>
  <c r="S9" i="4"/>
  <c r="S14" i="4"/>
  <c r="S10" i="4"/>
  <c r="L9" i="4"/>
  <c r="L14" i="4"/>
  <c r="L10" i="4"/>
  <c r="L17" i="4"/>
  <c r="L13" i="4"/>
  <c r="L16" i="4"/>
  <c r="L12" i="4"/>
  <c r="L15" i="4"/>
  <c r="L11" i="4"/>
  <c r="B6" i="3"/>
  <c r="B18" i="3"/>
  <c r="B3" i="3"/>
  <c r="B7" i="3"/>
  <c r="B11" i="3"/>
  <c r="B15" i="3"/>
  <c r="B19" i="3"/>
  <c r="B23" i="3"/>
  <c r="B27" i="3"/>
  <c r="B31" i="3"/>
  <c r="B5" i="3"/>
  <c r="B9" i="3"/>
  <c r="B17" i="3"/>
  <c r="B25" i="3"/>
  <c r="B10" i="3"/>
  <c r="B22" i="3"/>
  <c r="B30" i="3"/>
  <c r="B4" i="3"/>
  <c r="B8" i="3"/>
  <c r="B12" i="3"/>
  <c r="B16" i="3"/>
  <c r="B20" i="3"/>
  <c r="B24" i="3"/>
  <c r="B28" i="3"/>
  <c r="B13" i="3"/>
  <c r="B21" i="3"/>
  <c r="B29" i="3"/>
  <c r="B2" i="3"/>
  <c r="B14" i="3"/>
  <c r="B26" i="3"/>
  <c r="C5" i="3"/>
  <c r="D5" i="3" s="1"/>
  <c r="C9" i="3"/>
  <c r="D9" i="3" s="1"/>
  <c r="C13" i="3"/>
  <c r="D13" i="3" s="1"/>
  <c r="C25" i="3"/>
  <c r="D25" i="3" s="1"/>
  <c r="C2" i="3"/>
  <c r="C6" i="3"/>
  <c r="D6" i="3" s="1"/>
  <c r="C10" i="3"/>
  <c r="C14" i="3"/>
  <c r="D14" i="3" s="1"/>
  <c r="C18" i="3"/>
  <c r="D18" i="3" s="1"/>
  <c r="C22" i="3"/>
  <c r="D22" i="3" s="1"/>
  <c r="C26" i="3"/>
  <c r="D26" i="3" s="1"/>
  <c r="C30" i="3"/>
  <c r="D30" i="3" s="1"/>
  <c r="C17" i="3"/>
  <c r="D17" i="3" s="1"/>
  <c r="C29" i="3"/>
  <c r="D29" i="3" s="1"/>
  <c r="C3" i="3"/>
  <c r="C7" i="3"/>
  <c r="C11" i="3"/>
  <c r="D11" i="3" s="1"/>
  <c r="C15" i="3"/>
  <c r="D15" i="3" s="1"/>
  <c r="C19" i="3"/>
  <c r="C23" i="3"/>
  <c r="C27" i="3"/>
  <c r="D27" i="3" s="1"/>
  <c r="C31" i="3"/>
  <c r="D31" i="3" s="1"/>
  <c r="C4" i="3"/>
  <c r="D4" i="3" s="1"/>
  <c r="C8" i="3"/>
  <c r="C12" i="3"/>
  <c r="C16" i="3"/>
  <c r="D16" i="3" s="1"/>
  <c r="C20" i="3"/>
  <c r="D20" i="3" s="1"/>
  <c r="C24" i="3"/>
  <c r="C28" i="3"/>
  <c r="C21" i="3"/>
  <c r="D21" i="3" s="1"/>
  <c r="D28" i="3" l="1"/>
  <c r="D2" i="3"/>
  <c r="D24" i="3"/>
  <c r="D8" i="3"/>
  <c r="D23" i="3"/>
  <c r="D7" i="3"/>
  <c r="D12" i="3"/>
  <c r="D19" i="3"/>
  <c r="D3" i="3"/>
  <c r="D10" i="3"/>
  <c r="H3" i="2"/>
  <c r="H4" i="2" s="1"/>
  <c r="H5" i="2" s="1"/>
  <c r="H6" i="2" s="1"/>
  <c r="H7" i="2" s="1"/>
  <c r="H8" i="2" s="1"/>
  <c r="H9" i="2" s="1"/>
  <c r="H10" i="2" s="1"/>
  <c r="H11" i="2" s="1"/>
  <c r="H12" i="2" s="1"/>
  <c r="H13" i="2" s="1"/>
  <c r="H14" i="2" s="1"/>
  <c r="H15" i="2" s="1"/>
  <c r="H16" i="2" s="1"/>
  <c r="H17" i="2" s="1"/>
  <c r="H18" i="2" s="1"/>
  <c r="H19" i="2" s="1"/>
  <c r="H20" i="2" s="1"/>
  <c r="H21" i="2" s="1"/>
  <c r="H22" i="2" s="1"/>
  <c r="H23" i="2" s="1"/>
  <c r="H24" i="2" s="1"/>
  <c r="H25" i="2" s="1"/>
  <c r="H26" i="2" s="1"/>
  <c r="H27" i="2" s="1"/>
  <c r="H28" i="2" s="1"/>
  <c r="H29" i="2" s="1"/>
  <c r="H30" i="2" s="1"/>
  <c r="H31" i="2" s="1"/>
  <c r="H32" i="2" s="1"/>
  <c r="H33" i="2" s="1"/>
  <c r="H34" i="2" s="1"/>
  <c r="H35" i="2" s="1"/>
  <c r="H36" i="2" s="1"/>
  <c r="H37" i="2" s="1"/>
  <c r="H38" i="2" s="1"/>
  <c r="H39" i="2" s="1"/>
  <c r="H40" i="2" s="1"/>
  <c r="H41" i="2" s="1"/>
  <c r="H42" i="2" s="1"/>
  <c r="H43" i="2" s="1"/>
  <c r="H44" i="2" s="1"/>
  <c r="H45" i="2" s="1"/>
  <c r="H46" i="2" s="1"/>
  <c r="H47" i="2" s="1"/>
  <c r="H48" i="2" s="1"/>
  <c r="H49" i="2" s="1"/>
  <c r="H50" i="2" s="1"/>
  <c r="H51" i="2" s="1"/>
  <c r="H52" i="2" s="1"/>
  <c r="H53" i="2" s="1"/>
  <c r="H54" i="2" s="1"/>
  <c r="H55" i="2" s="1"/>
  <c r="H56" i="2" s="1"/>
  <c r="H57" i="2" s="1"/>
  <c r="H58" i="2" s="1"/>
  <c r="H59" i="2" s="1"/>
  <c r="H60" i="2" s="1"/>
  <c r="H61" i="2" s="1"/>
  <c r="F3" i="1"/>
  <c r="F4" i="1" s="1"/>
  <c r="F5" i="1" s="1"/>
  <c r="F6" i="1" s="1"/>
  <c r="F7" i="1" s="1"/>
  <c r="F8" i="1" s="1"/>
  <c r="F9" i="1" s="1"/>
  <c r="F10" i="1" s="1"/>
  <c r="F11" i="1" s="1"/>
  <c r="F12" i="1" s="1"/>
  <c r="F13" i="1" s="1"/>
  <c r="F14" i="1" s="1"/>
  <c r="F15" i="1" s="1"/>
  <c r="F16" i="1" s="1"/>
  <c r="F17" i="1" s="1"/>
  <c r="F18" i="1" s="1"/>
  <c r="F19" i="1" s="1"/>
  <c r="F20" i="1" s="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I2" i="2" a="1"/>
  <c r="G2" i="1" a="1"/>
  <c r="I2" i="2" l="1"/>
  <c r="I6" i="2"/>
  <c r="I10" i="2"/>
  <c r="I14" i="2"/>
  <c r="I18" i="2"/>
  <c r="I22" i="2"/>
  <c r="I26" i="2"/>
  <c r="I30" i="2"/>
  <c r="I34" i="2"/>
  <c r="I38" i="2"/>
  <c r="I42" i="2"/>
  <c r="I46" i="2"/>
  <c r="I50" i="2"/>
  <c r="I54" i="2"/>
  <c r="I58" i="2"/>
  <c r="I3" i="2"/>
  <c r="I7" i="2"/>
  <c r="I11" i="2"/>
  <c r="I15" i="2"/>
  <c r="I19" i="2"/>
  <c r="I23" i="2"/>
  <c r="I27" i="2"/>
  <c r="I31" i="2"/>
  <c r="I35" i="2"/>
  <c r="I39" i="2"/>
  <c r="I43" i="2"/>
  <c r="I47" i="2"/>
  <c r="I51" i="2"/>
  <c r="I55" i="2"/>
  <c r="I59" i="2"/>
  <c r="I9" i="2"/>
  <c r="I17" i="2"/>
  <c r="I25" i="2"/>
  <c r="I33" i="2"/>
  <c r="I41" i="2"/>
  <c r="I49" i="2"/>
  <c r="I57" i="2"/>
  <c r="I4" i="2"/>
  <c r="I8" i="2"/>
  <c r="I12" i="2"/>
  <c r="I16" i="2"/>
  <c r="I20" i="2"/>
  <c r="I24" i="2"/>
  <c r="I28" i="2"/>
  <c r="I32" i="2"/>
  <c r="I36" i="2"/>
  <c r="I40" i="2"/>
  <c r="I44" i="2"/>
  <c r="I48" i="2"/>
  <c r="I52" i="2"/>
  <c r="I56" i="2"/>
  <c r="I60" i="2"/>
  <c r="I5" i="2"/>
  <c r="I13" i="2"/>
  <c r="I21" i="2"/>
  <c r="I29" i="2"/>
  <c r="I37" i="2"/>
  <c r="I45" i="2"/>
  <c r="I53" i="2"/>
  <c r="I61" i="2"/>
  <c r="G61" i="1"/>
  <c r="H61" i="1" s="1"/>
  <c r="G57" i="1"/>
  <c r="H57" i="1" s="1"/>
  <c r="G53" i="1"/>
  <c r="H53" i="1" s="1"/>
  <c r="G49" i="1"/>
  <c r="H49" i="1" s="1"/>
  <c r="G45" i="1"/>
  <c r="H45" i="1" s="1"/>
  <c r="G41" i="1"/>
  <c r="H41" i="1" s="1"/>
  <c r="G37" i="1"/>
  <c r="H37" i="1" s="1"/>
  <c r="G33" i="1"/>
  <c r="H33" i="1" s="1"/>
  <c r="G29" i="1"/>
  <c r="H29" i="1" s="1"/>
  <c r="G25" i="1"/>
  <c r="H25" i="1" s="1"/>
  <c r="G21" i="1"/>
  <c r="H21" i="1" s="1"/>
  <c r="G17" i="1"/>
  <c r="H17" i="1" s="1"/>
  <c r="G13" i="1"/>
  <c r="H13" i="1" s="1"/>
  <c r="G9" i="1"/>
  <c r="H9" i="1" s="1"/>
  <c r="G5" i="1"/>
  <c r="H5" i="1" s="1"/>
  <c r="G2" i="1"/>
  <c r="H2" i="1" s="1"/>
  <c r="G60" i="1"/>
  <c r="H60" i="1" s="1"/>
  <c r="G56" i="1"/>
  <c r="H56" i="1" s="1"/>
  <c r="G52" i="1"/>
  <c r="H52" i="1" s="1"/>
  <c r="G48" i="1"/>
  <c r="H48" i="1" s="1"/>
  <c r="G44" i="1"/>
  <c r="H44" i="1" s="1"/>
  <c r="G40" i="1"/>
  <c r="H40" i="1" s="1"/>
  <c r="G36" i="1"/>
  <c r="H36" i="1" s="1"/>
  <c r="G32" i="1"/>
  <c r="H32" i="1" s="1"/>
  <c r="G28" i="1"/>
  <c r="H28" i="1" s="1"/>
  <c r="G24" i="1"/>
  <c r="H24" i="1" s="1"/>
  <c r="G20" i="1"/>
  <c r="H20" i="1" s="1"/>
  <c r="G16" i="1"/>
  <c r="H16" i="1" s="1"/>
  <c r="G12" i="1"/>
  <c r="H12" i="1" s="1"/>
  <c r="G8" i="1"/>
  <c r="H8" i="1" s="1"/>
  <c r="G4" i="1"/>
  <c r="H4" i="1" s="1"/>
  <c r="G59" i="1"/>
  <c r="H59" i="1" s="1"/>
  <c r="G55" i="1"/>
  <c r="H55" i="1" s="1"/>
  <c r="G51" i="1"/>
  <c r="H51" i="1" s="1"/>
  <c r="G47" i="1"/>
  <c r="H47" i="1" s="1"/>
  <c r="G43" i="1"/>
  <c r="H43" i="1" s="1"/>
  <c r="G39" i="1"/>
  <c r="H39" i="1" s="1"/>
  <c r="G35" i="1"/>
  <c r="H35" i="1" s="1"/>
  <c r="G31" i="1"/>
  <c r="H31" i="1" s="1"/>
  <c r="G27" i="1"/>
  <c r="H27" i="1" s="1"/>
  <c r="G23" i="1"/>
  <c r="H23" i="1" s="1"/>
  <c r="G19" i="1"/>
  <c r="H19" i="1" s="1"/>
  <c r="G15" i="1"/>
  <c r="H15" i="1" s="1"/>
  <c r="G11" i="1"/>
  <c r="H11" i="1" s="1"/>
  <c r="G7" i="1"/>
  <c r="H7" i="1" s="1"/>
  <c r="G3" i="1"/>
  <c r="H3" i="1" s="1"/>
  <c r="G58" i="1"/>
  <c r="H58" i="1" s="1"/>
  <c r="G54" i="1"/>
  <c r="H54" i="1" s="1"/>
  <c r="G50" i="1"/>
  <c r="H50" i="1" s="1"/>
  <c r="G46" i="1"/>
  <c r="H46" i="1" s="1"/>
  <c r="G42" i="1"/>
  <c r="H42" i="1" s="1"/>
  <c r="G38" i="1"/>
  <c r="H38" i="1" s="1"/>
  <c r="G34" i="1"/>
  <c r="H34" i="1" s="1"/>
  <c r="G30" i="1"/>
  <c r="H30" i="1" s="1"/>
  <c r="G26" i="1"/>
  <c r="H26" i="1" s="1"/>
  <c r="G22" i="1"/>
  <c r="H22" i="1" s="1"/>
  <c r="G18" i="1"/>
  <c r="H18" i="1" s="1"/>
  <c r="G14" i="1"/>
  <c r="H14" i="1" s="1"/>
  <c r="G10" i="1"/>
  <c r="H10" i="1" s="1"/>
  <c r="G6" i="1"/>
  <c r="H6" i="1" s="1"/>
</calcChain>
</file>

<file path=xl/sharedStrings.xml><?xml version="1.0" encoding="utf-8"?>
<sst xmlns="http://schemas.openxmlformats.org/spreadsheetml/2006/main" count="215" uniqueCount="42">
  <si>
    <t>T</t>
  </si>
  <si>
    <t>Par Swap (s/a)</t>
  </si>
  <si>
    <t>Euribor Rates</t>
  </si>
  <si>
    <t>ZeroRates</t>
  </si>
  <si>
    <t>EONIA Zero Rate</t>
  </si>
  <si>
    <t>EURIBOR Zero Rate</t>
  </si>
  <si>
    <t>Part (a)</t>
  </si>
  <si>
    <t>OIS Bump</t>
  </si>
  <si>
    <t>Euribor Bump</t>
  </si>
  <si>
    <t>Swap Fixed Rate</t>
  </si>
  <si>
    <t>Maturity</t>
  </si>
  <si>
    <t>IRS Receiver Swap NPV</t>
  </si>
  <si>
    <t>Bumps represent the parallel shift in zero curve. IRS Receiver Swap NPV = FixedLeg NPV - FloatingLegNPV. We assume semiannual payments. Also for convenience, we use 10000 notional to consider NPVs in basis points.</t>
  </si>
  <si>
    <t>First, we consider "at par":</t>
  </si>
  <si>
    <t>Simultaneous Shift +10 bps</t>
  </si>
  <si>
    <t>Simultaneous Shift -10 bps</t>
  </si>
  <si>
    <t>Second, we consider "negative present value":</t>
  </si>
  <si>
    <t>Third, we consider "positive present value":</t>
  </si>
  <si>
    <t>ChangeFromOriginal</t>
  </si>
  <si>
    <t xml:space="preserve">Conclusion/Analysis: </t>
  </si>
  <si>
    <t>On the other hand, for simultaneous increase in the rates, the more negative present value the receiver swap has, the less negative effect the rate changes bring; you may check the values in column L.</t>
  </si>
  <si>
    <t>Part (b)</t>
  </si>
  <si>
    <t>OIS  Rising &amp; Euribor Same</t>
  </si>
  <si>
    <t>Euribor Dropping &amp; OIS Same</t>
  </si>
  <si>
    <t>Part ©</t>
  </si>
  <si>
    <t>OIS  Dropping &amp; Euribor Same</t>
  </si>
  <si>
    <t>Euribor Increasing &amp; OIS Same</t>
  </si>
  <si>
    <t>Par swap (s/a)</t>
  </si>
  <si>
    <t>Zero Rates</t>
  </si>
  <si>
    <t>Discount Factor</t>
  </si>
  <si>
    <t>Time (years)</t>
  </si>
  <si>
    <t>Basis Swap Spread</t>
  </si>
  <si>
    <t>Extended Results</t>
  </si>
  <si>
    <r>
      <t xml:space="preserve">Overall, </t>
    </r>
    <r>
      <rPr>
        <b/>
        <sz val="11"/>
        <color rgb="FFFF0000"/>
        <rFont val="Calibri"/>
        <family val="2"/>
        <scheme val="minor"/>
      </rPr>
      <t>(1)</t>
    </r>
    <r>
      <rPr>
        <b/>
        <sz val="11"/>
        <color theme="1"/>
        <rFont val="Calibri"/>
        <family val="2"/>
        <scheme val="minor"/>
      </rPr>
      <t xml:space="preserve"> positive parallel shift decreases NPV, and negative parallel shift increases NPV. Another quick observation is that the longer the maturity is, the greater impact either shift brings.</t>
    </r>
  </si>
  <si>
    <r>
      <rPr>
        <b/>
        <sz val="11"/>
        <color rgb="FFFF0000"/>
        <rFont val="Calibri"/>
        <family val="2"/>
        <scheme val="minor"/>
      </rPr>
      <t>(2)</t>
    </r>
    <r>
      <rPr>
        <b/>
        <sz val="11"/>
        <color theme="1"/>
        <rFont val="Calibri"/>
        <family val="2"/>
        <scheme val="minor"/>
      </rPr>
      <t xml:space="preserve"> For simultaneous drop in the EURIBOR and OIS rates, the more positive present value the receiver swap has, the more positive effect the rate changes bring; you may check the values in column S.</t>
    </r>
  </si>
  <si>
    <t xml:space="preserve">This phenomena makes sense intuitively because the EURIBOR rates are used only in the coupon payments and the swap value is a linear function of the coupon payments. </t>
  </si>
  <si>
    <r>
      <rPr>
        <b/>
        <sz val="11"/>
        <color rgb="FFFF0000"/>
        <rFont val="Calibri"/>
        <family val="2"/>
        <scheme val="minor"/>
      </rPr>
      <t>(1)</t>
    </r>
    <r>
      <rPr>
        <b/>
        <sz val="11"/>
        <color theme="1"/>
        <rFont val="Calibri"/>
        <family val="2"/>
        <scheme val="minor"/>
      </rPr>
      <t xml:space="preserve"> Except for the case where OIS rises and Euribor stays the same for short maturity swaps with positive present value, the spread compression results in the increase in NPV of the receiver swap.</t>
    </r>
  </si>
  <si>
    <r>
      <rPr>
        <b/>
        <sz val="11"/>
        <color rgb="FFFF0000"/>
        <rFont val="Calibri"/>
        <family val="2"/>
        <scheme val="minor"/>
      </rPr>
      <t>(2)</t>
    </r>
    <r>
      <rPr>
        <b/>
        <sz val="11"/>
        <color theme="1"/>
        <rFont val="Calibri"/>
        <family val="2"/>
        <scheme val="minor"/>
      </rPr>
      <t xml:space="preserve"> Interestingly, the effect of Euribor dropping (with OIS remaining the same) is identical regardless of whether the swap's present value is negative, positive, or zero given the same maturity.</t>
    </r>
  </si>
  <si>
    <r>
      <rPr>
        <b/>
        <sz val="11"/>
        <color rgb="FFFF0000"/>
        <rFont val="Calibri"/>
        <family val="2"/>
        <scheme val="minor"/>
      </rPr>
      <t>(1)</t>
    </r>
    <r>
      <rPr>
        <b/>
        <sz val="11"/>
        <color theme="1"/>
        <rFont val="Calibri"/>
        <family val="2"/>
        <scheme val="minor"/>
      </rPr>
      <t xml:space="preserve"> Except for the case where OIS rises and Euribor stays the same for short maturity swaps with positive present value, the spread widening results in the decrease in NPV of the receiver swap.</t>
    </r>
  </si>
  <si>
    <r>
      <rPr>
        <b/>
        <sz val="11"/>
        <color rgb="FFFF0000"/>
        <rFont val="Calibri"/>
        <family val="2"/>
        <scheme val="minor"/>
      </rPr>
      <t>(2)</t>
    </r>
    <r>
      <rPr>
        <b/>
        <sz val="11"/>
        <color theme="1"/>
        <rFont val="Calibri"/>
        <family val="2"/>
        <scheme val="minor"/>
      </rPr>
      <t xml:space="preserve"> Interestingly, the effect of Euribor widening (with OIS remaining the same) is identical regardless of whether the swap's present value is negative, positive, or zero given the same maturity.</t>
    </r>
  </si>
  <si>
    <t>This linearity explains why the change in the swap values is independent of the swap present value itself, provided that the other parameters such as maturity and discounting rates are the same.</t>
  </si>
  <si>
    <t>This linearity explains why the change in the swap values is independent of the swap present value itself, provided that the other parameters such as maturity and discounting rates  are the same.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</si>
</sst>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0000"/>
    <numFmt numFmtId="165" formatCode="0.00000000000"/>
    <numFmt numFmtId="166" formatCode="0.0000"/>
  </numFmts>
  <fonts count="7" x14ac:knownFonts="1">
    <font>
      <sz val="11"/>
      <color theme="1"/>
      <name val="Calibri"/>
      <family val="2"/>
      <scheme val="minor"/>
    </font>
    <font>
      <b/>
      <sz val="11"/>
      <color theme="1"/>
      <name val="Calibri"/>
      <family val="2"/>
      <scheme val="minor"/>
    </font>
    <font>
      <sz val="11"/>
      <color theme="1"/>
      <name val="Calibri"/>
      <family val="2"/>
      <scheme val="minor"/>
    </font>
    <font>
      <b/>
      <sz val="11"/>
      <color theme="3"/>
      <name val="Calibri"/>
      <family val="2"/>
      <scheme val="minor"/>
    </font>
    <font>
      <sz val="11"/>
      <color rgb="FF3F3F76"/>
      <name val="Calibri"/>
      <family val="2"/>
      <scheme val="minor"/>
    </font>
    <font>
      <b/>
      <sz val="11"/>
      <color rgb="FF3F3F3F"/>
      <name val="Calibri"/>
      <family val="2"/>
      <scheme val="minor"/>
    </font>
    <font>
      <b/>
      <sz val="11"/>
      <color rgb="FFFF0000"/>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rgb="FFFFCC99"/>
      </patternFill>
    </fill>
    <fill>
      <patternFill patternType="solid">
        <fgColor rgb="FFF2F2F2"/>
      </patternFill>
    </fill>
    <fill>
      <patternFill patternType="solid">
        <fgColor rgb="FFFFFFCC"/>
      </patternFill>
    </fill>
  </fills>
  <borders count="5">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3" fillId="0" borderId="1" applyNumberFormat="0" applyFill="0" applyAlignment="0" applyProtection="0"/>
    <xf numFmtId="0" fontId="4" fillId="3" borderId="2" applyNumberFormat="0" applyAlignment="0" applyProtection="0"/>
    <xf numFmtId="0" fontId="5" fillId="4" borderId="3" applyNumberFormat="0" applyAlignment="0" applyProtection="0"/>
    <xf numFmtId="0" fontId="2" fillId="5" borderId="4" applyNumberFormat="0" applyFont="0" applyAlignment="0" applyProtection="0"/>
  </cellStyleXfs>
  <cellXfs count="15">
    <xf numFmtId="0" fontId="0" fillId="0" borderId="0" xfId="0"/>
    <xf numFmtId="164" fontId="0" fillId="0" borderId="0" xfId="0" applyNumberFormat="1"/>
    <xf numFmtId="165" fontId="0" fillId="0" borderId="0" xfId="0" applyNumberFormat="1"/>
    <xf numFmtId="0" fontId="1" fillId="2" borderId="0" xfId="0" applyFont="1" applyFill="1"/>
    <xf numFmtId="0" fontId="1" fillId="0" borderId="0" xfId="0" applyFont="1"/>
    <xf numFmtId="0" fontId="1" fillId="0" borderId="0" xfId="0" applyFont="1" applyAlignment="1">
      <alignment horizontal="center"/>
    </xf>
    <xf numFmtId="0" fontId="3" fillId="0" borderId="1" xfId="1"/>
    <xf numFmtId="0" fontId="4" fillId="3" borderId="2" xfId="2"/>
    <xf numFmtId="164" fontId="5" fillId="4" borderId="3" xfId="3" applyNumberFormat="1"/>
    <xf numFmtId="0" fontId="5" fillId="4" borderId="3" xfId="3"/>
    <xf numFmtId="0" fontId="3" fillId="5" borderId="4" xfId="4" applyFont="1" applyAlignment="1">
      <alignment horizontal="center"/>
    </xf>
    <xf numFmtId="0" fontId="1" fillId="5" borderId="4" xfId="4" applyFont="1"/>
    <xf numFmtId="0" fontId="0" fillId="5" borderId="4" xfId="4" applyFont="1"/>
    <xf numFmtId="166" fontId="5" fillId="4" borderId="3" xfId="3" applyNumberFormat="1"/>
    <xf numFmtId="0" fontId="1" fillId="0" borderId="0" xfId="0" applyFont="1" applyAlignment="1">
      <alignment horizontal="center"/>
    </xf>
  </cellXfs>
  <cellStyles count="5">
    <cellStyle name="Heading 3" xfId="1" builtinId="18"/>
    <cellStyle name="Input" xfId="2" builtinId="20"/>
    <cellStyle name="Normal" xfId="0" builtinId="0"/>
    <cellStyle name="Note" xfId="4" builtinId="10"/>
    <cellStyle name="Output" xfId="3"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OIS</a:t>
            </a:r>
            <a:r>
              <a:rPr lang="en-US" baseline="0"/>
              <a:t> Zero Rates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circle"/>
            <c:size val="5"/>
            <c:spPr>
              <a:solidFill>
                <a:schemeClr val="accent1"/>
              </a:solidFill>
              <a:ln w="9525">
                <a:solidFill>
                  <a:schemeClr val="accent1"/>
                </a:solidFill>
              </a:ln>
              <a:effectLst/>
            </c:spPr>
          </c:marker>
          <c:xVal>
            <c:numRef>
              <c:f>'Application Part (i)'!$F$2:$F$61</c:f>
              <c:numCache>
                <c:formatCode>General</c:formatCode>
                <c:ptCount val="60"/>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pt idx="48">
                  <c:v>24.5</c:v>
                </c:pt>
                <c:pt idx="49">
                  <c:v>25</c:v>
                </c:pt>
                <c:pt idx="50">
                  <c:v>25.5</c:v>
                </c:pt>
                <c:pt idx="51">
                  <c:v>26</c:v>
                </c:pt>
                <c:pt idx="52">
                  <c:v>26.5</c:v>
                </c:pt>
                <c:pt idx="53">
                  <c:v>27</c:v>
                </c:pt>
                <c:pt idx="54">
                  <c:v>27.5</c:v>
                </c:pt>
                <c:pt idx="55">
                  <c:v>28</c:v>
                </c:pt>
                <c:pt idx="56">
                  <c:v>28.5</c:v>
                </c:pt>
                <c:pt idx="57">
                  <c:v>29</c:v>
                </c:pt>
                <c:pt idx="58">
                  <c:v>29.5</c:v>
                </c:pt>
                <c:pt idx="59">
                  <c:v>30</c:v>
                </c:pt>
              </c:numCache>
            </c:numRef>
          </c:xVal>
          <c:yVal>
            <c:numRef>
              <c:f>'Application Part (i)'!$G$2:$G$61</c:f>
              <c:numCache>
                <c:formatCode>General</c:formatCode>
                <c:ptCount val="60"/>
                <c:pt idx="0">
                  <c:v>-2.5015637997194079E-3</c:v>
                </c:pt>
                <c:pt idx="1">
                  <c:v>-1.2507818881432545E-3</c:v>
                </c:pt>
                <c:pt idx="2">
                  <c:v>-5.0035450017338204E-4</c:v>
                </c:pt>
                <c:pt idx="3">
                  <c:v>2.7748799352050879E-18</c:v>
                </c:pt>
                <c:pt idx="4">
                  <c:v>6.0089732559081665E-4</c:v>
                </c:pt>
                <c:pt idx="5">
                  <c:v>1.2017946511816305E-3</c:v>
                </c:pt>
                <c:pt idx="6">
                  <c:v>1.527956926178621E-3</c:v>
                </c:pt>
                <c:pt idx="7">
                  <c:v>1.8541192011756118E-3</c:v>
                </c:pt>
                <c:pt idx="8">
                  <c:v>2.1802814761726023E-3</c:v>
                </c:pt>
                <c:pt idx="9">
                  <c:v>2.5064437511695928E-3</c:v>
                </c:pt>
                <c:pt idx="10">
                  <c:v>3.7805008943300848E-3</c:v>
                </c:pt>
                <c:pt idx="11">
                  <c:v>5.0545580374905773E-3</c:v>
                </c:pt>
                <c:pt idx="12">
                  <c:v>6.3286151806510689E-3</c:v>
                </c:pt>
                <c:pt idx="13">
                  <c:v>7.6026723238115613E-3</c:v>
                </c:pt>
                <c:pt idx="14">
                  <c:v>8.032248545988295E-3</c:v>
                </c:pt>
                <c:pt idx="15">
                  <c:v>8.4618247681650278E-3</c:v>
                </c:pt>
                <c:pt idx="16">
                  <c:v>8.8914009903417607E-3</c:v>
                </c:pt>
                <c:pt idx="17">
                  <c:v>9.3209772125184935E-3</c:v>
                </c:pt>
                <c:pt idx="18">
                  <c:v>9.7505534346952263E-3</c:v>
                </c:pt>
                <c:pt idx="19">
                  <c:v>1.0180129656871959E-2</c:v>
                </c:pt>
                <c:pt idx="20">
                  <c:v>1.0487059087444026E-2</c:v>
                </c:pt>
                <c:pt idx="21">
                  <c:v>1.0793988518016091E-2</c:v>
                </c:pt>
                <c:pt idx="22">
                  <c:v>1.1100917948588158E-2</c:v>
                </c:pt>
                <c:pt idx="23">
                  <c:v>1.1407847379160223E-2</c:v>
                </c:pt>
                <c:pt idx="24">
                  <c:v>1.171477680973229E-2</c:v>
                </c:pt>
                <c:pt idx="25">
                  <c:v>1.2021706240304356E-2</c:v>
                </c:pt>
                <c:pt idx="26">
                  <c:v>1.2328635670876421E-2</c:v>
                </c:pt>
                <c:pt idx="27">
                  <c:v>1.2635565101448488E-2</c:v>
                </c:pt>
                <c:pt idx="28">
                  <c:v>1.2942494532020553E-2</c:v>
                </c:pt>
                <c:pt idx="29">
                  <c:v>1.324942396259262E-2</c:v>
                </c:pt>
                <c:pt idx="30">
                  <c:v>1.3556353393164687E-2</c:v>
                </c:pt>
                <c:pt idx="31">
                  <c:v>1.3863282823736752E-2</c:v>
                </c:pt>
                <c:pt idx="32">
                  <c:v>1.4170212254308819E-2</c:v>
                </c:pt>
                <c:pt idx="33">
                  <c:v>1.4477141684880884E-2</c:v>
                </c:pt>
                <c:pt idx="34">
                  <c:v>1.478407111545295E-2</c:v>
                </c:pt>
                <c:pt idx="35">
                  <c:v>1.5091000546025017E-2</c:v>
                </c:pt>
                <c:pt idx="36">
                  <c:v>1.5397929976597082E-2</c:v>
                </c:pt>
                <c:pt idx="37">
                  <c:v>1.5704859407169147E-2</c:v>
                </c:pt>
                <c:pt idx="38">
                  <c:v>1.6011788837741216E-2</c:v>
                </c:pt>
                <c:pt idx="39">
                  <c:v>1.6318718268313281E-2</c:v>
                </c:pt>
                <c:pt idx="40">
                  <c:v>1.6625647698885346E-2</c:v>
                </c:pt>
                <c:pt idx="41">
                  <c:v>1.6932577129457414E-2</c:v>
                </c:pt>
                <c:pt idx="42">
                  <c:v>1.7239506560029479E-2</c:v>
                </c:pt>
                <c:pt idx="43">
                  <c:v>1.7546435990601544E-2</c:v>
                </c:pt>
                <c:pt idx="44">
                  <c:v>1.7853365421173613E-2</c:v>
                </c:pt>
                <c:pt idx="45">
                  <c:v>1.8160294851745678E-2</c:v>
                </c:pt>
                <c:pt idx="46">
                  <c:v>1.8467224282317743E-2</c:v>
                </c:pt>
                <c:pt idx="47">
                  <c:v>1.8774153712889808E-2</c:v>
                </c:pt>
                <c:pt idx="48">
                  <c:v>1.9081083143461876E-2</c:v>
                </c:pt>
                <c:pt idx="49">
                  <c:v>1.9388012574033942E-2</c:v>
                </c:pt>
                <c:pt idx="50">
                  <c:v>1.9694942004606007E-2</c:v>
                </c:pt>
                <c:pt idx="51">
                  <c:v>2.0001871435178075E-2</c:v>
                </c:pt>
                <c:pt idx="52">
                  <c:v>2.030880086575014E-2</c:v>
                </c:pt>
                <c:pt idx="53">
                  <c:v>2.0615730296322205E-2</c:v>
                </c:pt>
                <c:pt idx="54">
                  <c:v>2.092265972689427E-2</c:v>
                </c:pt>
                <c:pt idx="55">
                  <c:v>2.1229589157466339E-2</c:v>
                </c:pt>
                <c:pt idx="56">
                  <c:v>2.1536518588038404E-2</c:v>
                </c:pt>
                <c:pt idx="57">
                  <c:v>2.1843448018610469E-2</c:v>
                </c:pt>
                <c:pt idx="58">
                  <c:v>2.2150377449182537E-2</c:v>
                </c:pt>
                <c:pt idx="59">
                  <c:v>2.2457306879754602E-2</c:v>
                </c:pt>
              </c:numCache>
            </c:numRef>
          </c:yVal>
          <c:smooth val="0"/>
        </c:ser>
        <c:dLbls>
          <c:showLegendKey val="0"/>
          <c:showVal val="0"/>
          <c:showCatName val="0"/>
          <c:showSerName val="0"/>
          <c:showPercent val="0"/>
          <c:showBubbleSize val="0"/>
        </c:dLbls>
        <c:axId val="-1369715616"/>
        <c:axId val="-1369715072"/>
      </c:scatterChart>
      <c:valAx>
        <c:axId val="-1369715616"/>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715072"/>
        <c:crosses val="autoZero"/>
        <c:crossBetween val="midCat"/>
      </c:valAx>
      <c:valAx>
        <c:axId val="-1369715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715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EURIBOR Zero Rates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Pt>
            <c:idx val="25"/>
            <c:marker>
              <c:symbol val="circle"/>
              <c:size val="5"/>
              <c:spPr>
                <a:solidFill>
                  <a:schemeClr val="accent1"/>
                </a:solidFill>
                <a:ln w="9525">
                  <a:solidFill>
                    <a:schemeClr val="accent1"/>
                  </a:solidFill>
                </a:ln>
                <a:effectLst/>
              </c:spPr>
            </c:marker>
            <c:bubble3D val="0"/>
            <c:spPr>
              <a:ln w="19050" cap="rnd">
                <a:solidFill>
                  <a:schemeClr val="accent1"/>
                </a:solidFill>
                <a:round/>
              </a:ln>
              <a:effectLst/>
            </c:spPr>
          </c:dPt>
          <c:xVal>
            <c:numRef>
              <c:f>'Application Part (ii)'!$H$2:$H$61</c:f>
              <c:numCache>
                <c:formatCode>General</c:formatCode>
                <c:ptCount val="60"/>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pt idx="48">
                  <c:v>24.5</c:v>
                </c:pt>
                <c:pt idx="49">
                  <c:v>25</c:v>
                </c:pt>
                <c:pt idx="50">
                  <c:v>25.5</c:v>
                </c:pt>
                <c:pt idx="51">
                  <c:v>26</c:v>
                </c:pt>
                <c:pt idx="52">
                  <c:v>26.5</c:v>
                </c:pt>
                <c:pt idx="53">
                  <c:v>27</c:v>
                </c:pt>
                <c:pt idx="54">
                  <c:v>27.5</c:v>
                </c:pt>
                <c:pt idx="55">
                  <c:v>28</c:v>
                </c:pt>
                <c:pt idx="56">
                  <c:v>28.5</c:v>
                </c:pt>
                <c:pt idx="57">
                  <c:v>29</c:v>
                </c:pt>
                <c:pt idx="58">
                  <c:v>29.5</c:v>
                </c:pt>
                <c:pt idx="59">
                  <c:v>30</c:v>
                </c:pt>
              </c:numCache>
            </c:numRef>
          </c:xVal>
          <c:yVal>
            <c:numRef>
              <c:f>'Application Part (ii)'!$I$2:$I$61</c:f>
              <c:numCache>
                <c:formatCode>General</c:formatCode>
                <c:ptCount val="60"/>
                <c:pt idx="0">
                  <c:v>5.4924513463341347E-3</c:v>
                </c:pt>
                <c:pt idx="1">
                  <c:v>6.9872199252959278E-3</c:v>
                </c:pt>
                <c:pt idx="2">
                  <c:v>9.7212684613227421E-3</c:v>
                </c:pt>
                <c:pt idx="3">
                  <c:v>1.2455316997349558E-2</c:v>
                </c:pt>
                <c:pt idx="4">
                  <c:v>1.444258155899315E-2</c:v>
                </c:pt>
                <c:pt idx="5">
                  <c:v>1.6429846120636742E-2</c:v>
                </c:pt>
                <c:pt idx="6">
                  <c:v>1.6617027228268428E-2</c:v>
                </c:pt>
                <c:pt idx="7">
                  <c:v>1.6804208335900114E-2</c:v>
                </c:pt>
                <c:pt idx="8">
                  <c:v>1.6991389443531797E-2</c:v>
                </c:pt>
                <c:pt idx="9">
                  <c:v>1.7178570551163484E-2</c:v>
                </c:pt>
                <c:pt idx="10">
                  <c:v>1.8506708509997499E-2</c:v>
                </c:pt>
                <c:pt idx="11">
                  <c:v>1.9834846468831512E-2</c:v>
                </c:pt>
                <c:pt idx="12">
                  <c:v>2.1162984427665527E-2</c:v>
                </c:pt>
                <c:pt idx="13">
                  <c:v>2.2491122386499543E-2</c:v>
                </c:pt>
                <c:pt idx="14">
                  <c:v>2.4202691030970731E-2</c:v>
                </c:pt>
                <c:pt idx="15">
                  <c:v>2.5914259675441916E-2</c:v>
                </c:pt>
                <c:pt idx="16">
                  <c:v>2.7625828319913105E-2</c:v>
                </c:pt>
                <c:pt idx="17">
                  <c:v>2.9337396964384293E-2</c:v>
                </c:pt>
                <c:pt idx="18">
                  <c:v>3.1048965608855478E-2</c:v>
                </c:pt>
                <c:pt idx="19">
                  <c:v>3.2760534253326666E-2</c:v>
                </c:pt>
                <c:pt idx="20">
                  <c:v>3.3157437104516768E-2</c:v>
                </c:pt>
                <c:pt idx="21">
                  <c:v>3.3554339955706877E-2</c:v>
                </c:pt>
                <c:pt idx="22">
                  <c:v>3.3951242806896979E-2</c:v>
                </c:pt>
                <c:pt idx="23">
                  <c:v>3.4348145658087081E-2</c:v>
                </c:pt>
                <c:pt idx="24">
                  <c:v>3.474504850927719E-2</c:v>
                </c:pt>
                <c:pt idx="25">
                  <c:v>3.5141951360467293E-2</c:v>
                </c:pt>
                <c:pt idx="26">
                  <c:v>3.5538854211657395E-2</c:v>
                </c:pt>
                <c:pt idx="27">
                  <c:v>3.5935757062847497E-2</c:v>
                </c:pt>
                <c:pt idx="28">
                  <c:v>3.6332659914037606E-2</c:v>
                </c:pt>
                <c:pt idx="29">
                  <c:v>3.6729562765227708E-2</c:v>
                </c:pt>
                <c:pt idx="30">
                  <c:v>3.712646561641781E-2</c:v>
                </c:pt>
                <c:pt idx="31">
                  <c:v>3.7523368467607919E-2</c:v>
                </c:pt>
                <c:pt idx="32">
                  <c:v>3.7920271318798021E-2</c:v>
                </c:pt>
                <c:pt idx="33">
                  <c:v>3.8317174169988123E-2</c:v>
                </c:pt>
                <c:pt idx="34">
                  <c:v>3.8714077021178225E-2</c:v>
                </c:pt>
                <c:pt idx="35">
                  <c:v>3.9110979872368334E-2</c:v>
                </c:pt>
                <c:pt idx="36">
                  <c:v>3.9507882723558436E-2</c:v>
                </c:pt>
                <c:pt idx="37">
                  <c:v>3.9904785574748539E-2</c:v>
                </c:pt>
                <c:pt idx="38">
                  <c:v>4.0301688425938648E-2</c:v>
                </c:pt>
                <c:pt idx="39">
                  <c:v>4.069859127712875E-2</c:v>
                </c:pt>
                <c:pt idx="40">
                  <c:v>4.1004682489197974E-2</c:v>
                </c:pt>
                <c:pt idx="41">
                  <c:v>4.1310773701267192E-2</c:v>
                </c:pt>
                <c:pt idx="42">
                  <c:v>4.1616864913336417E-2</c:v>
                </c:pt>
                <c:pt idx="43">
                  <c:v>4.1922956125405642E-2</c:v>
                </c:pt>
                <c:pt idx="44">
                  <c:v>4.2229047337474866E-2</c:v>
                </c:pt>
                <c:pt idx="45">
                  <c:v>4.2535138549544091E-2</c:v>
                </c:pt>
                <c:pt idx="46">
                  <c:v>4.2841229761613309E-2</c:v>
                </c:pt>
                <c:pt idx="47">
                  <c:v>4.3147320973682533E-2</c:v>
                </c:pt>
                <c:pt idx="48">
                  <c:v>4.3453412185751758E-2</c:v>
                </c:pt>
                <c:pt idx="49">
                  <c:v>4.3759503397820976E-2</c:v>
                </c:pt>
                <c:pt idx="50">
                  <c:v>4.40655946098902E-2</c:v>
                </c:pt>
                <c:pt idx="51">
                  <c:v>4.4371685821959425E-2</c:v>
                </c:pt>
                <c:pt idx="52">
                  <c:v>4.467777703402865E-2</c:v>
                </c:pt>
                <c:pt idx="53">
                  <c:v>4.4983868246097874E-2</c:v>
                </c:pt>
                <c:pt idx="54">
                  <c:v>4.5289959458167092E-2</c:v>
                </c:pt>
                <c:pt idx="55">
                  <c:v>4.5596050670236317E-2</c:v>
                </c:pt>
                <c:pt idx="56">
                  <c:v>4.5902141882305542E-2</c:v>
                </c:pt>
                <c:pt idx="57">
                  <c:v>4.6208233094374759E-2</c:v>
                </c:pt>
                <c:pt idx="58">
                  <c:v>4.6514324306443984E-2</c:v>
                </c:pt>
                <c:pt idx="59">
                  <c:v>4.6820415518513209E-2</c:v>
                </c:pt>
              </c:numCache>
            </c:numRef>
          </c:yVal>
          <c:smooth val="0"/>
        </c:ser>
        <c:dLbls>
          <c:showLegendKey val="0"/>
          <c:showVal val="0"/>
          <c:showCatName val="0"/>
          <c:showSerName val="0"/>
          <c:showPercent val="0"/>
          <c:showBubbleSize val="0"/>
        </c:dLbls>
        <c:axId val="-1369703648"/>
        <c:axId val="-1369708544"/>
      </c:scatterChart>
      <c:valAx>
        <c:axId val="-1369703648"/>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708544"/>
        <c:crosses val="autoZero"/>
        <c:crossBetween val="midCat"/>
      </c:valAx>
      <c:valAx>
        <c:axId val="-1369708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703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Basis Swap Spread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3"/>
            <c:spPr>
              <a:solidFill>
                <a:schemeClr val="accent1"/>
              </a:solidFill>
              <a:ln w="3175">
                <a:solidFill>
                  <a:schemeClr val="accent1"/>
                </a:solidFill>
              </a:ln>
              <a:effectLst/>
            </c:spPr>
          </c:marker>
          <c:xVal>
            <c:numRef>
              <c:f>'Application Part (iii)'!$A$2:$A$31</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xVal>
          <c:yVal>
            <c:numRef>
              <c:f>'Application Part (iii)'!$D$2:$D$31</c:f>
              <c:numCache>
                <c:formatCode>General</c:formatCode>
                <c:ptCount val="30"/>
                <c:pt idx="0">
                  <c:v>8.2380018134391823E-3</c:v>
                </c:pt>
                <c:pt idx="1">
                  <c:v>1.2455316997349555E-2</c:v>
                </c:pt>
                <c:pt idx="2">
                  <c:v>1.5228051469455111E-2</c:v>
                </c:pt>
                <c:pt idx="3">
                  <c:v>1.4950089134724502E-2</c:v>
                </c:pt>
                <c:pt idx="4">
                  <c:v>1.4672126799993891E-2</c:v>
                </c:pt>
                <c:pt idx="5">
                  <c:v>1.4780288431340934E-2</c:v>
                </c:pt>
                <c:pt idx="6">
                  <c:v>1.4888450062687981E-2</c:v>
                </c:pt>
                <c:pt idx="7">
                  <c:v>1.7452434907276888E-2</c:v>
                </c:pt>
                <c:pt idx="8">
                  <c:v>2.0016419751865799E-2</c:v>
                </c:pt>
                <c:pt idx="9">
                  <c:v>2.2580404596454707E-2</c:v>
                </c:pt>
                <c:pt idx="10">
                  <c:v>2.2760351437690785E-2</c:v>
                </c:pt>
                <c:pt idx="11">
                  <c:v>2.2940298278926859E-2</c:v>
                </c:pt>
                <c:pt idx="12">
                  <c:v>2.3120245120162936E-2</c:v>
                </c:pt>
                <c:pt idx="13">
                  <c:v>2.3300191961399007E-2</c:v>
                </c:pt>
                <c:pt idx="14">
                  <c:v>2.3480138802635088E-2</c:v>
                </c:pt>
                <c:pt idx="15">
                  <c:v>2.3660085643871169E-2</c:v>
                </c:pt>
                <c:pt idx="16">
                  <c:v>2.384003248510724E-2</c:v>
                </c:pt>
                <c:pt idx="17">
                  <c:v>2.4019979326343317E-2</c:v>
                </c:pt>
                <c:pt idx="18">
                  <c:v>2.4199926167579391E-2</c:v>
                </c:pt>
                <c:pt idx="19">
                  <c:v>2.4379873008815469E-2</c:v>
                </c:pt>
                <c:pt idx="20">
                  <c:v>2.4378196571809778E-2</c:v>
                </c:pt>
                <c:pt idx="21">
                  <c:v>2.4376520134804097E-2</c:v>
                </c:pt>
                <c:pt idx="22">
                  <c:v>2.4374843697798413E-2</c:v>
                </c:pt>
                <c:pt idx="23">
                  <c:v>2.4373167260792725E-2</c:v>
                </c:pt>
                <c:pt idx="24">
                  <c:v>2.4371490823787034E-2</c:v>
                </c:pt>
                <c:pt idx="25">
                  <c:v>2.436981438678135E-2</c:v>
                </c:pt>
                <c:pt idx="26">
                  <c:v>2.4368137949775669E-2</c:v>
                </c:pt>
                <c:pt idx="27">
                  <c:v>2.4366461512769978E-2</c:v>
                </c:pt>
                <c:pt idx="28">
                  <c:v>2.4364785075764291E-2</c:v>
                </c:pt>
                <c:pt idx="29">
                  <c:v>2.4363108638758606E-2</c:v>
                </c:pt>
              </c:numCache>
            </c:numRef>
          </c:yVal>
          <c:smooth val="0"/>
        </c:ser>
        <c:dLbls>
          <c:showLegendKey val="0"/>
          <c:showVal val="0"/>
          <c:showCatName val="0"/>
          <c:showSerName val="0"/>
          <c:showPercent val="0"/>
          <c:showBubbleSize val="0"/>
        </c:dLbls>
        <c:axId val="-1369702560"/>
        <c:axId val="-1369710720"/>
      </c:scatterChart>
      <c:valAx>
        <c:axId val="-136970256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710720"/>
        <c:crosses val="autoZero"/>
        <c:crossBetween val="midCat"/>
      </c:valAx>
      <c:valAx>
        <c:axId val="-1369710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702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3810</xdr:colOff>
      <xdr:row>11</xdr:row>
      <xdr:rowOff>9525</xdr:rowOff>
    </xdr:from>
    <xdr:to>
      <xdr:col>4</xdr:col>
      <xdr:colOff>891540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118110</xdr:colOff>
      <xdr:row>10</xdr:row>
      <xdr:rowOff>177165</xdr:rowOff>
    </xdr:from>
    <xdr:to>
      <xdr:col>6</xdr:col>
      <xdr:colOff>274320</xdr:colOff>
      <xdr:row>25</xdr:row>
      <xdr:rowOff>177165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632460</xdr:colOff>
      <xdr:row>1</xdr:row>
      <xdr:rowOff>1905</xdr:rowOff>
    </xdr:from>
    <xdr:to>
      <xdr:col>12</xdr:col>
      <xdr:colOff>83820</xdr:colOff>
      <xdr:row>16</xdr:row>
      <xdr:rowOff>1905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61"/>
  <sheetViews>
    <sheetView tabSelected="1" workbookViewId="0">
      <selection activeCell="G9" sqref="G9"/>
    </sheetView>
  </sheetViews>
  <sheetFormatPr defaultRowHeight="14.4" x14ac:dyDescent="0.55000000000000004"/>
  <cols>
    <col min="2" max="2" width="15" customWidth="1"/>
    <col min="3" max="3" width="14.89453125" customWidth="1"/>
    <col min="4" max="4" width="12.20703125" customWidth="1"/>
    <col min="5" max="5" width="25.7890625" customWidth="1"/>
    <col min="7" max="7" width="14" customWidth="1"/>
    <col min="8" max="8" width="15.20703125" customWidth="1"/>
  </cols>
  <sheetData>
    <row r="1" spans="1:8" ht="14.7" thickBot="1" x14ac:dyDescent="0.6">
      <c r="A1" s="6" t="s">
        <v>0</v>
      </c>
      <c r="B1" s="6" t="s">
        <v>27</v>
      </c>
      <c r="C1" s="6" t="s">
        <v>3</v>
      </c>
      <c r="E1" s="10" t="s">
        <v>32</v>
      </c>
      <c r="F1" s="6" t="s">
        <v>0</v>
      </c>
      <c r="G1" s="6" t="s">
        <v>28</v>
      </c>
      <c r="H1" s="6" t="s">
        <v>29</v>
      </c>
    </row>
    <row r="2" spans="1:8" x14ac:dyDescent="0.55000000000000004">
      <c r="A2" s="7">
        <v>0.5</v>
      </c>
      <c r="B2" s="7">
        <v>-2.5000000000000001E-3</v>
      </c>
      <c r="C2" s="8">
        <f t="array" aca="1" ref="C2:C10" ca="1">BootstrapZeroRatesExtendedFunc(A2:A10,A2:B10)</f>
        <v>-2.5015637997194079E-3</v>
      </c>
      <c r="D2" s="1"/>
      <c r="F2" s="7">
        <v>0.5</v>
      </c>
      <c r="G2" s="9">
        <f t="array" aca="1" ref="G2:G61" ca="1">BootstrapZeroRatesExtendedFunc(F2:F61,A2:B10)</f>
        <v>-2.5015637997194079E-3</v>
      </c>
      <c r="H2" s="9">
        <f ca="1">EXP(-G2*F2)</f>
        <v>1.0012515644537743</v>
      </c>
    </row>
    <row r="3" spans="1:8" x14ac:dyDescent="0.55000000000000004">
      <c r="A3" s="7">
        <v>1</v>
      </c>
      <c r="B3" s="7">
        <v>-1.25E-3</v>
      </c>
      <c r="C3" s="9">
        <f ca="1"/>
        <v>-1.2507818881430381E-3</v>
      </c>
      <c r="D3" s="1"/>
      <c r="F3" s="7">
        <f ca="1">F2+0.5</f>
        <v>1</v>
      </c>
      <c r="G3" s="9">
        <f ca="1"/>
        <v>-1.2507818881432545E-3</v>
      </c>
      <c r="H3" s="9">
        <f ca="1">EXP(-G3*F3)</f>
        <v>1.0012515644420432</v>
      </c>
    </row>
    <row r="4" spans="1:8" x14ac:dyDescent="0.55000000000000004">
      <c r="A4" s="7">
        <v>1.5</v>
      </c>
      <c r="B4" s="7">
        <v>-5.0000000000000001E-4</v>
      </c>
      <c r="C4" s="9">
        <f ca="1"/>
        <v>-5.0035450017338204E-4</v>
      </c>
      <c r="D4" s="1"/>
      <c r="F4" s="7">
        <f t="shared" ref="F4:F61" ca="1" si="0">F3+0.5</f>
        <v>1.5</v>
      </c>
      <c r="G4" s="9">
        <f ca="1"/>
        <v>-5.0035450017338204E-4</v>
      </c>
      <c r="H4" s="9">
        <f ca="1">EXP(-G4*F4)</f>
        <v>1.0007508134696896</v>
      </c>
    </row>
    <row r="5" spans="1:8" x14ac:dyDescent="0.55000000000000004">
      <c r="A5" s="7">
        <v>2</v>
      </c>
      <c r="B5" s="7">
        <v>0</v>
      </c>
      <c r="C5" s="9">
        <f ca="1"/>
        <v>2.7748799352050879E-18</v>
      </c>
      <c r="D5" s="1"/>
      <c r="F5" s="7">
        <f t="shared" ca="1" si="0"/>
        <v>2</v>
      </c>
      <c r="G5" s="9">
        <f ca="1"/>
        <v>2.7748799352050879E-18</v>
      </c>
      <c r="H5" s="9">
        <f ca="1">EXP(-G5*F5)</f>
        <v>1</v>
      </c>
    </row>
    <row r="6" spans="1:8" x14ac:dyDescent="0.55000000000000004">
      <c r="A6" s="7">
        <v>3</v>
      </c>
      <c r="B6" s="7">
        <v>1.1999999999999999E-3</v>
      </c>
      <c r="C6" s="9">
        <f ca="1"/>
        <v>1.2017946511816305E-3</v>
      </c>
      <c r="D6" s="1"/>
      <c r="F6" s="7">
        <f t="shared" ca="1" si="0"/>
        <v>2.5</v>
      </c>
      <c r="G6" s="9">
        <f ca="1"/>
        <v>6.0089732559081665E-4</v>
      </c>
      <c r="H6" s="9">
        <f ca="1">EXP(-G6*F6)</f>
        <v>0.99849888448869484</v>
      </c>
    </row>
    <row r="7" spans="1:8" x14ac:dyDescent="0.55000000000000004">
      <c r="A7" s="7">
        <v>5</v>
      </c>
      <c r="B7" s="7">
        <v>2.5000000000000001E-3</v>
      </c>
      <c r="C7" s="9">
        <f ca="1"/>
        <v>2.5064437511695928E-3</v>
      </c>
      <c r="D7" s="1"/>
      <c r="F7" s="7">
        <f t="shared" ca="1" si="0"/>
        <v>3</v>
      </c>
      <c r="G7" s="9">
        <f ca="1"/>
        <v>1.2017946511816305E-3</v>
      </c>
      <c r="H7" s="9">
        <f t="shared" ref="H7:H61" ca="1" si="1">EXP(-G7*F7)</f>
        <v>0.99640110763927636</v>
      </c>
    </row>
    <row r="8" spans="1:8" x14ac:dyDescent="0.55000000000000004">
      <c r="A8" s="7">
        <v>7</v>
      </c>
      <c r="B8" s="7">
        <v>7.4999999999999997E-3</v>
      </c>
      <c r="C8" s="9">
        <f ca="1"/>
        <v>7.6026723238115613E-3</v>
      </c>
      <c r="D8" s="1"/>
      <c r="F8" s="7">
        <f t="shared" ca="1" si="0"/>
        <v>3.5</v>
      </c>
      <c r="G8" s="9">
        <f ca="1"/>
        <v>1.527956926178621E-3</v>
      </c>
      <c r="H8" s="9">
        <f t="shared" ca="1" si="1"/>
        <v>0.99466642504721292</v>
      </c>
    </row>
    <row r="9" spans="1:8" x14ac:dyDescent="0.55000000000000004">
      <c r="A9" s="7">
        <v>10</v>
      </c>
      <c r="B9" s="7">
        <v>0.01</v>
      </c>
      <c r="C9" s="9">
        <f ca="1"/>
        <v>1.0180129656871959E-2</v>
      </c>
      <c r="D9" s="1"/>
      <c r="F9" s="7">
        <f t="shared" ca="1" si="0"/>
        <v>4</v>
      </c>
      <c r="G9" s="9">
        <f ca="1"/>
        <v>1.8541192011756118E-3</v>
      </c>
      <c r="H9" s="9">
        <f t="shared" ca="1" si="1"/>
        <v>0.99261095739579519</v>
      </c>
    </row>
    <row r="10" spans="1:8" x14ac:dyDescent="0.55000000000000004">
      <c r="A10" s="7">
        <v>30</v>
      </c>
      <c r="B10" s="7">
        <v>2.0500000000000001E-2</v>
      </c>
      <c r="C10" s="9">
        <f ca="1"/>
        <v>2.2457306879754599E-2</v>
      </c>
      <c r="D10" s="1"/>
      <c r="E10" s="2"/>
      <c r="F10" s="7">
        <f t="shared" ca="1" si="0"/>
        <v>4.5</v>
      </c>
      <c r="G10" s="9">
        <f ca="1"/>
        <v>2.1802814761726023E-3</v>
      </c>
      <c r="H10" s="9">
        <f t="shared" ca="1" si="1"/>
        <v>0.99023670681214548</v>
      </c>
    </row>
    <row r="11" spans="1:8" x14ac:dyDescent="0.55000000000000004">
      <c r="F11" s="7">
        <f t="shared" ca="1" si="0"/>
        <v>5</v>
      </c>
      <c r="G11" s="9">
        <f ca="1"/>
        <v>2.5064437511695928E-3</v>
      </c>
      <c r="H11" s="9">
        <f t="shared" ca="1" si="1"/>
        <v>0.98754598247841763</v>
      </c>
    </row>
    <row r="12" spans="1:8" x14ac:dyDescent="0.55000000000000004">
      <c r="F12" s="7">
        <f t="shared" ca="1" si="0"/>
        <v>5.5</v>
      </c>
      <c r="G12" s="9">
        <f ca="1"/>
        <v>3.7805008943300848E-3</v>
      </c>
      <c r="H12" s="9">
        <f t="shared" ca="1" si="1"/>
        <v>0.97942192391370564</v>
      </c>
    </row>
    <row r="13" spans="1:8" x14ac:dyDescent="0.55000000000000004">
      <c r="F13" s="7">
        <f t="shared" ca="1" si="0"/>
        <v>6</v>
      </c>
      <c r="G13" s="9">
        <f ca="1"/>
        <v>5.0545580374905773E-3</v>
      </c>
      <c r="H13" s="9">
        <f t="shared" ca="1" si="1"/>
        <v>0.97012791191497205</v>
      </c>
    </row>
    <row r="14" spans="1:8" x14ac:dyDescent="0.55000000000000004">
      <c r="F14" s="7">
        <f t="shared" ca="1" si="0"/>
        <v>6.5</v>
      </c>
      <c r="G14" s="9">
        <f ca="1"/>
        <v>6.3286151806510689E-3</v>
      </c>
      <c r="H14" s="9">
        <f t="shared" ca="1" si="1"/>
        <v>0.95969860333456114</v>
      </c>
    </row>
    <row r="15" spans="1:8" x14ac:dyDescent="0.55000000000000004">
      <c r="F15" s="7">
        <f t="shared" ca="1" si="0"/>
        <v>7</v>
      </c>
      <c r="G15" s="9">
        <f ca="1"/>
        <v>7.6026723238115613E-3</v>
      </c>
      <c r="H15" s="9">
        <f t="shared" ca="1" si="1"/>
        <v>0.9481726185103807</v>
      </c>
    </row>
    <row r="16" spans="1:8" x14ac:dyDescent="0.55000000000000004">
      <c r="F16" s="7">
        <f t="shared" ca="1" si="0"/>
        <v>7.5</v>
      </c>
      <c r="G16" s="9">
        <f ca="1"/>
        <v>8.032248545988295E-3</v>
      </c>
      <c r="H16" s="9">
        <f t="shared" ca="1" si="1"/>
        <v>0.94153678210127634</v>
      </c>
    </row>
    <row r="17" spans="6:8" x14ac:dyDescent="0.55000000000000004">
      <c r="F17" s="7">
        <f t="shared" ca="1" si="0"/>
        <v>8</v>
      </c>
      <c r="G17" s="9">
        <f ca="1"/>
        <v>8.4618247681650278E-3</v>
      </c>
      <c r="H17" s="9">
        <f t="shared" ca="1" si="1"/>
        <v>0.93454584203240776</v>
      </c>
    </row>
    <row r="18" spans="6:8" x14ac:dyDescent="0.55000000000000004">
      <c r="F18" s="7">
        <f t="shared" ca="1" si="0"/>
        <v>8.5</v>
      </c>
      <c r="G18" s="9">
        <f ca="1"/>
        <v>8.8914009903417607E-3</v>
      </c>
      <c r="H18" s="9">
        <f t="shared" ca="1" si="1"/>
        <v>0.92720841765928341</v>
      </c>
    </row>
    <row r="19" spans="6:8" x14ac:dyDescent="0.55000000000000004">
      <c r="F19" s="7">
        <f t="shared" ca="1" si="0"/>
        <v>9</v>
      </c>
      <c r="G19" s="9">
        <f ca="1"/>
        <v>9.3209772125184935E-3</v>
      </c>
      <c r="H19" s="9">
        <f t="shared" ca="1" si="1"/>
        <v>0.91953350721357285</v>
      </c>
    </row>
    <row r="20" spans="6:8" x14ac:dyDescent="0.55000000000000004">
      <c r="F20" s="7">
        <f t="shared" ca="1" si="0"/>
        <v>9.5</v>
      </c>
      <c r="G20" s="9">
        <f ca="1"/>
        <v>9.7505534346952263E-3</v>
      </c>
      <c r="H20" s="9">
        <f t="shared" ca="1" si="1"/>
        <v>0.91153046943287364</v>
      </c>
    </row>
    <row r="21" spans="6:8" x14ac:dyDescent="0.55000000000000004">
      <c r="F21" s="7">
        <f t="shared" ca="1" si="0"/>
        <v>10</v>
      </c>
      <c r="G21" s="9">
        <f ca="1"/>
        <v>1.0180129656871959E-2</v>
      </c>
      <c r="H21" s="9">
        <f t="shared" ca="1" si="1"/>
        <v>0.90320900456770392</v>
      </c>
    </row>
    <row r="22" spans="6:8" x14ac:dyDescent="0.55000000000000004">
      <c r="F22" s="7">
        <f t="shared" ca="1" si="0"/>
        <v>10.5</v>
      </c>
      <c r="G22" s="9">
        <f ca="1"/>
        <v>1.0487059087444026E-2</v>
      </c>
      <c r="H22" s="9">
        <f t="shared" ca="1" si="1"/>
        <v>0.8957319081636167</v>
      </c>
    </row>
    <row r="23" spans="6:8" x14ac:dyDescent="0.55000000000000004">
      <c r="F23" s="7">
        <f t="shared" ca="1" si="0"/>
        <v>11</v>
      </c>
      <c r="G23" s="9">
        <f ca="1"/>
        <v>1.0793988518016091E-2</v>
      </c>
      <c r="H23" s="9">
        <f t="shared" ca="1" si="1"/>
        <v>0.88804410121018407</v>
      </c>
    </row>
    <row r="24" spans="6:8" x14ac:dyDescent="0.55000000000000004">
      <c r="F24" s="7">
        <f t="shared" ca="1" si="0"/>
        <v>11.5</v>
      </c>
      <c r="G24" s="9">
        <f ca="1"/>
        <v>1.1100917948588158E-2</v>
      </c>
      <c r="H24" s="9">
        <f t="shared" ca="1" si="1"/>
        <v>0.88015209043036957</v>
      </c>
    </row>
    <row r="25" spans="6:8" x14ac:dyDescent="0.55000000000000004">
      <c r="F25" s="7">
        <f t="shared" ca="1" si="0"/>
        <v>12</v>
      </c>
      <c r="G25" s="9">
        <f ca="1"/>
        <v>1.1407847379160223E-2</v>
      </c>
      <c r="H25" s="9">
        <f t="shared" ca="1" si="1"/>
        <v>0.8720625128888998</v>
      </c>
    </row>
    <row r="26" spans="6:8" x14ac:dyDescent="0.55000000000000004">
      <c r="F26" s="7">
        <f t="shared" ca="1" si="0"/>
        <v>12.5</v>
      </c>
      <c r="G26" s="9">
        <f ca="1"/>
        <v>1.171477680973229E-2</v>
      </c>
      <c r="H26" s="9">
        <f t="shared" ca="1" si="1"/>
        <v>0.86378212672372245</v>
      </c>
    </row>
    <row r="27" spans="6:8" x14ac:dyDescent="0.55000000000000004">
      <c r="F27" s="7">
        <f t="shared" ca="1" si="0"/>
        <v>13</v>
      </c>
      <c r="G27" s="9">
        <f ca="1"/>
        <v>1.2021706240304356E-2</v>
      </c>
      <c r="H27" s="9">
        <f t="shared" ca="1" si="1"/>
        <v>0.85531780177632233</v>
      </c>
    </row>
    <row r="28" spans="6:8" x14ac:dyDescent="0.55000000000000004">
      <c r="F28" s="7">
        <f t="shared" ca="1" si="0"/>
        <v>13.5</v>
      </c>
      <c r="G28" s="9">
        <f ca="1"/>
        <v>1.2328635670876421E-2</v>
      </c>
      <c r="H28" s="9">
        <f t="shared" ca="1" si="1"/>
        <v>0.84667651013899214</v>
      </c>
    </row>
    <row r="29" spans="6:8" x14ac:dyDescent="0.55000000000000004">
      <c r="F29" s="7">
        <f t="shared" ca="1" si="0"/>
        <v>14</v>
      </c>
      <c r="G29" s="9">
        <f ca="1"/>
        <v>1.2635565101448488E-2</v>
      </c>
      <c r="H29" s="9">
        <f t="shared" ca="1" si="1"/>
        <v>0.83786531663716668</v>
      </c>
    </row>
    <row r="30" spans="6:8" x14ac:dyDescent="0.55000000000000004">
      <c r="F30" s="7">
        <f t="shared" ca="1" si="0"/>
        <v>14.5</v>
      </c>
      <c r="G30" s="9">
        <f ca="1"/>
        <v>1.2942494532020553E-2</v>
      </c>
      <c r="H30" s="9">
        <f t="shared" ca="1" si="1"/>
        <v>0.82889136926489326</v>
      </c>
    </row>
    <row r="31" spans="6:8" x14ac:dyDescent="0.55000000000000004">
      <c r="F31" s="7">
        <f t="shared" ca="1" si="0"/>
        <v>15</v>
      </c>
      <c r="G31" s="9">
        <f ca="1"/>
        <v>1.324942396259262E-2</v>
      </c>
      <c r="H31" s="9">
        <f t="shared" ca="1" si="1"/>
        <v>0.81976188959142926</v>
      </c>
    </row>
    <row r="32" spans="6:8" x14ac:dyDescent="0.55000000000000004">
      <c r="F32" s="7">
        <f t="shared" ca="1" si="0"/>
        <v>15.5</v>
      </c>
      <c r="G32" s="9">
        <f ca="1"/>
        <v>1.3556353393164687E-2</v>
      </c>
      <c r="H32" s="9">
        <f t="shared" ca="1" si="1"/>
        <v>0.81048416315683736</v>
      </c>
    </row>
    <row r="33" spans="6:8" x14ac:dyDescent="0.55000000000000004">
      <c r="F33" s="7">
        <f t="shared" ca="1" si="0"/>
        <v>16</v>
      </c>
      <c r="G33" s="9">
        <f ca="1"/>
        <v>1.3863282823736752E-2</v>
      </c>
      <c r="H33" s="9">
        <f t="shared" ca="1" si="1"/>
        <v>0.80106552987428181</v>
      </c>
    </row>
    <row r="34" spans="6:8" x14ac:dyDescent="0.55000000000000004">
      <c r="F34" s="7">
        <f t="shared" ca="1" si="0"/>
        <v>16.5</v>
      </c>
      <c r="G34" s="9">
        <f ca="1"/>
        <v>1.4170212254308819E-2</v>
      </c>
      <c r="H34" s="9">
        <f t="shared" ca="1" si="1"/>
        <v>0.79151337445652437</v>
      </c>
    </row>
    <row r="35" spans="6:8" x14ac:dyDescent="0.55000000000000004">
      <c r="F35" s="7">
        <f t="shared" ca="1" si="0"/>
        <v>17</v>
      </c>
      <c r="G35" s="9">
        <f ca="1"/>
        <v>1.4477141684880884E-2</v>
      </c>
      <c r="H35" s="9">
        <f t="shared" ca="1" si="1"/>
        <v>0.78183511688387075</v>
      </c>
    </row>
    <row r="36" spans="6:8" x14ac:dyDescent="0.55000000000000004">
      <c r="F36" s="7">
        <f t="shared" ca="1" si="0"/>
        <v>17.5</v>
      </c>
      <c r="G36" s="9">
        <f ca="1"/>
        <v>1.478407111545295E-2</v>
      </c>
      <c r="H36" s="9">
        <f t="shared" ca="1" si="1"/>
        <v>0.77203820293053071</v>
      </c>
    </row>
    <row r="37" spans="6:8" x14ac:dyDescent="0.55000000000000004">
      <c r="F37" s="7">
        <f t="shared" ca="1" si="0"/>
        <v>18</v>
      </c>
      <c r="G37" s="9">
        <f ca="1"/>
        <v>1.5091000546025017E-2</v>
      </c>
      <c r="H37" s="9">
        <f t="shared" ca="1" si="1"/>
        <v>0.76213009476603311</v>
      </c>
    </row>
    <row r="38" spans="6:8" x14ac:dyDescent="0.55000000000000004">
      <c r="F38" s="7">
        <f t="shared" ca="1" si="0"/>
        <v>18.5</v>
      </c>
      <c r="G38" s="9">
        <f ca="1"/>
        <v>1.5397929976597082E-2</v>
      </c>
      <c r="H38" s="9">
        <f t="shared" ca="1" si="1"/>
        <v>0.7521182616479748</v>
      </c>
    </row>
    <row r="39" spans="6:8" x14ac:dyDescent="0.55000000000000004">
      <c r="F39" s="7">
        <f t="shared" ca="1" si="0"/>
        <v>19</v>
      </c>
      <c r="G39" s="9">
        <f ca="1"/>
        <v>1.5704859407169147E-2</v>
      </c>
      <c r="H39" s="9">
        <f t="shared" ca="1" si="1"/>
        <v>0.74201017072198405</v>
      </c>
    </row>
    <row r="40" spans="6:8" x14ac:dyDescent="0.55000000000000004">
      <c r="F40" s="7">
        <f t="shared" ca="1" si="0"/>
        <v>19.5</v>
      </c>
      <c r="G40" s="9">
        <f ca="1"/>
        <v>1.6011788837741216E-2</v>
      </c>
      <c r="H40" s="9">
        <f t="shared" ca="1" si="1"/>
        <v>0.73181327794435358</v>
      </c>
    </row>
    <row r="41" spans="6:8" x14ac:dyDescent="0.55000000000000004">
      <c r="F41" s="7">
        <f t="shared" ca="1" si="0"/>
        <v>20</v>
      </c>
      <c r="G41" s="9">
        <f ca="1"/>
        <v>1.6318718268313281E-2</v>
      </c>
      <c r="H41" s="9">
        <f t="shared" ca="1" si="1"/>
        <v>0.72153501914233109</v>
      </c>
    </row>
    <row r="42" spans="6:8" x14ac:dyDescent="0.55000000000000004">
      <c r="F42" s="7">
        <f t="shared" ca="1" si="0"/>
        <v>20.5</v>
      </c>
      <c r="G42" s="9">
        <f ca="1"/>
        <v>1.6625647698885346E-2</v>
      </c>
      <c r="H42" s="9">
        <f t="shared" ca="1" si="1"/>
        <v>0.7111828012265643</v>
      </c>
    </row>
    <row r="43" spans="6:8" x14ac:dyDescent="0.55000000000000004">
      <c r="F43" s="7">
        <f t="shared" ca="1" si="0"/>
        <v>21</v>
      </c>
      <c r="G43" s="9">
        <f ca="1"/>
        <v>1.6932577129457414E-2</v>
      </c>
      <c r="H43" s="9">
        <f t="shared" ca="1" si="1"/>
        <v>0.70076399356967745</v>
      </c>
    </row>
    <row r="44" spans="6:8" x14ac:dyDescent="0.55000000000000004">
      <c r="F44" s="7">
        <f t="shared" ca="1" si="0"/>
        <v>21.5</v>
      </c>
      <c r="G44" s="9">
        <f ca="1"/>
        <v>1.7239506560029479E-2</v>
      </c>
      <c r="H44" s="9">
        <f t="shared" ca="1" si="1"/>
        <v>0.69028591956440544</v>
      </c>
    </row>
    <row r="45" spans="6:8" x14ac:dyDescent="0.55000000000000004">
      <c r="F45" s="7">
        <f t="shared" ca="1" si="0"/>
        <v>22</v>
      </c>
      <c r="G45" s="9">
        <f ca="1"/>
        <v>1.7546435990601544E-2</v>
      </c>
      <c r="H45" s="9">
        <f t="shared" ca="1" si="1"/>
        <v>0.67975584837413927</v>
      </c>
    </row>
    <row r="46" spans="6:8" x14ac:dyDescent="0.55000000000000004">
      <c r="F46" s="7">
        <f t="shared" ca="1" si="0"/>
        <v>22.5</v>
      </c>
      <c r="G46" s="9">
        <f ca="1"/>
        <v>1.7853365421173613E-2</v>
      </c>
      <c r="H46" s="9">
        <f t="shared" ca="1" si="1"/>
        <v>0.66918098688813954</v>
      </c>
    </row>
    <row r="47" spans="6:8" x14ac:dyDescent="0.55000000000000004">
      <c r="F47" s="7">
        <f t="shared" ca="1" si="0"/>
        <v>23</v>
      </c>
      <c r="G47" s="9">
        <f ca="1"/>
        <v>1.8160294851745678E-2</v>
      </c>
      <c r="H47" s="9">
        <f t="shared" ca="1" si="1"/>
        <v>0.65856847189305878</v>
      </c>
    </row>
    <row r="48" spans="6:8" x14ac:dyDescent="0.55000000000000004">
      <c r="F48" s="7">
        <f t="shared" ca="1" si="0"/>
        <v>23.5</v>
      </c>
      <c r="G48" s="9">
        <f ca="1"/>
        <v>1.8467224282317743E-2</v>
      </c>
      <c r="H48" s="9">
        <f t="shared" ca="1" si="1"/>
        <v>0.64792536247177268</v>
      </c>
    </row>
    <row r="49" spans="6:8" x14ac:dyDescent="0.55000000000000004">
      <c r="F49" s="7">
        <f t="shared" ca="1" si="0"/>
        <v>24</v>
      </c>
      <c r="G49" s="9">
        <f ca="1"/>
        <v>1.8774153712889808E-2</v>
      </c>
      <c r="H49" s="9">
        <f t="shared" ca="1" si="1"/>
        <v>0.63725863263987226</v>
      </c>
    </row>
    <row r="50" spans="6:8" x14ac:dyDescent="0.55000000000000004">
      <c r="F50" s="7">
        <f t="shared" ca="1" si="0"/>
        <v>24.5</v>
      </c>
      <c r="G50" s="9">
        <f ca="1"/>
        <v>1.9081083143461876E-2</v>
      </c>
      <c r="H50" s="9">
        <f t="shared" ca="1" si="1"/>
        <v>0.62657516422949278</v>
      </c>
    </row>
    <row r="51" spans="6:8" x14ac:dyDescent="0.55000000000000004">
      <c r="F51" s="7">
        <f t="shared" ca="1" si="0"/>
        <v>25</v>
      </c>
      <c r="G51" s="9">
        <f ca="1"/>
        <v>1.9388012574033942E-2</v>
      </c>
      <c r="H51" s="9">
        <f t="shared" ca="1" si="1"/>
        <v>0.61588174002948104</v>
      </c>
    </row>
    <row r="52" spans="6:8" x14ac:dyDescent="0.55000000000000004">
      <c r="F52" s="7">
        <f t="shared" ca="1" si="0"/>
        <v>25.5</v>
      </c>
      <c r="G52" s="9">
        <f ca="1"/>
        <v>1.9694942004606007E-2</v>
      </c>
      <c r="H52" s="9">
        <f t="shared" ca="1" si="1"/>
        <v>0.60518503719020378</v>
      </c>
    </row>
    <row r="53" spans="6:8" x14ac:dyDescent="0.55000000000000004">
      <c r="F53" s="7">
        <f t="shared" ca="1" si="0"/>
        <v>26</v>
      </c>
      <c r="G53" s="9">
        <f ca="1"/>
        <v>2.0001871435178075E-2</v>
      </c>
      <c r="H53" s="9">
        <f t="shared" ca="1" si="1"/>
        <v>0.59449162090060026</v>
      </c>
    </row>
    <row r="54" spans="6:8" x14ac:dyDescent="0.55000000000000004">
      <c r="F54" s="7">
        <f t="shared" ca="1" si="0"/>
        <v>26.5</v>
      </c>
      <c r="G54" s="9">
        <f ca="1"/>
        <v>2.030880086575014E-2</v>
      </c>
      <c r="H54" s="9">
        <f t="shared" ca="1" si="1"/>
        <v>0.58380793834437772</v>
      </c>
    </row>
    <row r="55" spans="6:8" x14ac:dyDescent="0.55000000000000004">
      <c r="F55" s="7">
        <f t="shared" ca="1" si="0"/>
        <v>27</v>
      </c>
      <c r="G55" s="9">
        <f ca="1"/>
        <v>2.0615730296322205E-2</v>
      </c>
      <c r="H55" s="9">
        <f t="shared" ca="1" si="1"/>
        <v>0.57314031294152656</v>
      </c>
    </row>
    <row r="56" spans="6:8" x14ac:dyDescent="0.55000000000000004">
      <c r="F56" s="7">
        <f t="shared" ca="1" si="0"/>
        <v>27.5</v>
      </c>
      <c r="G56" s="9">
        <f ca="1"/>
        <v>2.092265972689427E-2</v>
      </c>
      <c r="H56" s="9">
        <f t="shared" ca="1" si="1"/>
        <v>0.56249493888062674</v>
      </c>
    </row>
    <row r="57" spans="6:8" x14ac:dyDescent="0.55000000000000004">
      <c r="F57" s="7">
        <f t="shared" ca="1" si="0"/>
        <v>28</v>
      </c>
      <c r="G57" s="9">
        <f ca="1"/>
        <v>2.1229589157466339E-2</v>
      </c>
      <c r="H57" s="9">
        <f t="shared" ca="1" si="1"/>
        <v>0.5518778759466918</v>
      </c>
    </row>
    <row r="58" spans="6:8" x14ac:dyDescent="0.55000000000000004">
      <c r="F58" s="7">
        <f t="shared" ca="1" si="0"/>
        <v>28.5</v>
      </c>
      <c r="G58" s="9">
        <f ca="1"/>
        <v>2.1536518588038404E-2</v>
      </c>
      <c r="H58" s="9">
        <f t="shared" ca="1" si="1"/>
        <v>0.54129504464858791</v>
      </c>
    </row>
    <row r="59" spans="6:8" x14ac:dyDescent="0.55000000000000004">
      <c r="F59" s="7">
        <f t="shared" ca="1" si="0"/>
        <v>29</v>
      </c>
      <c r="G59" s="9">
        <f ca="1"/>
        <v>2.1843448018610469E-2</v>
      </c>
      <c r="H59" s="9">
        <f t="shared" ca="1" si="1"/>
        <v>0.5307522216493501</v>
      </c>
    </row>
    <row r="60" spans="6:8" x14ac:dyDescent="0.55000000000000004">
      <c r="F60" s="7">
        <f t="shared" ca="1" si="0"/>
        <v>29.5</v>
      </c>
      <c r="G60" s="9">
        <f ca="1"/>
        <v>2.2150377449182537E-2</v>
      </c>
      <c r="H60" s="9">
        <f t="shared" ca="1" si="1"/>
        <v>0.52025503550201291</v>
      </c>
    </row>
    <row r="61" spans="6:8" x14ac:dyDescent="0.55000000000000004">
      <c r="F61" s="7">
        <f t="shared" ca="1" si="0"/>
        <v>30</v>
      </c>
      <c r="G61" s="9">
        <f ca="1"/>
        <v>2.2457306879754602E-2</v>
      </c>
      <c r="H61" s="9">
        <f t="shared" ca="1" si="1"/>
        <v>0.50980896269287201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1"/>
  <sheetViews>
    <sheetView workbookViewId="0">
      <selection activeCell="C2" sqref="C2:C10"/>
    </sheetView>
  </sheetViews>
  <sheetFormatPr defaultRowHeight="14.4" x14ac:dyDescent="0.55000000000000004"/>
  <cols>
    <col min="2" max="2" width="12.5234375" bestFit="1" customWidth="1"/>
    <col min="3" max="3" width="13.1015625" customWidth="1"/>
    <col min="7" max="7" width="16.5234375" customWidth="1"/>
    <col min="9" max="9" width="12.68359375" bestFit="1" customWidth="1"/>
  </cols>
  <sheetData>
    <row r="1" spans="1:9" ht="14.7" thickBot="1" x14ac:dyDescent="0.6">
      <c r="A1" s="6" t="s">
        <v>0</v>
      </c>
      <c r="B1" s="6" t="s">
        <v>1</v>
      </c>
      <c r="C1" s="6" t="s">
        <v>2</v>
      </c>
      <c r="G1" s="12" t="s">
        <v>32</v>
      </c>
      <c r="H1" s="6" t="s">
        <v>0</v>
      </c>
      <c r="I1" s="6" t="s">
        <v>2</v>
      </c>
    </row>
    <row r="2" spans="1:9" x14ac:dyDescent="0.55000000000000004">
      <c r="A2" s="7">
        <v>0.5</v>
      </c>
      <c r="B2" s="7">
        <v>5.4999999999999997E-3</v>
      </c>
      <c r="C2" s="9">
        <f t="array" aca="1" ref="C2:C10" ca="1">BootstrapEuriborRatesExtendedFunc(A2:A10,ois_zero_rates,A2:B10)</f>
        <v>5.4924513463341347E-3</v>
      </c>
      <c r="H2" s="7">
        <v>0.5</v>
      </c>
      <c r="I2" s="9">
        <f t="array" aca="1" ref="I2:I61" ca="1">BootstrapEuriborRatesExtendedFunc(H2:H61,ois_zero_rates,A2:B10)</f>
        <v>5.4924513463341347E-3</v>
      </c>
    </row>
    <row r="3" spans="1:9" x14ac:dyDescent="0.55000000000000004">
      <c r="A3" s="7">
        <v>1</v>
      </c>
      <c r="B3" s="7">
        <v>7.0000000000000001E-3</v>
      </c>
      <c r="C3" s="9">
        <f ca="1"/>
        <v>6.9872199252959278E-3</v>
      </c>
      <c r="H3" s="7">
        <f ca="1">H2+0.5</f>
        <v>1</v>
      </c>
      <c r="I3" s="9">
        <f ca="1"/>
        <v>6.9872199252959278E-3</v>
      </c>
    </row>
    <row r="4" spans="1:9" x14ac:dyDescent="0.55000000000000004">
      <c r="A4" s="7">
        <v>2</v>
      </c>
      <c r="B4" s="7">
        <v>1.2500000000000001E-2</v>
      </c>
      <c r="C4" s="9">
        <f ca="1"/>
        <v>1.2455316997349558E-2</v>
      </c>
      <c r="H4" s="7">
        <f t="shared" ref="H4:H61" ca="1" si="0">H3+0.5</f>
        <v>1.5</v>
      </c>
      <c r="I4" s="9">
        <f ca="1"/>
        <v>9.7212684613227421E-3</v>
      </c>
    </row>
    <row r="5" spans="1:9" x14ac:dyDescent="0.55000000000000004">
      <c r="A5" s="7">
        <v>3</v>
      </c>
      <c r="B5" s="7">
        <v>1.6500000000000001E-2</v>
      </c>
      <c r="C5" s="9">
        <f ca="1"/>
        <v>1.6429846120636742E-2</v>
      </c>
      <c r="H5" s="7">
        <f t="shared" ca="1" si="0"/>
        <v>2</v>
      </c>
      <c r="I5" s="9">
        <f ca="1"/>
        <v>1.2455316997349558E-2</v>
      </c>
    </row>
    <row r="6" spans="1:9" x14ac:dyDescent="0.55000000000000004">
      <c r="A6" s="7">
        <v>5</v>
      </c>
      <c r="B6" s="7">
        <v>1.7250000000000001E-2</v>
      </c>
      <c r="C6" s="9">
        <f ca="1"/>
        <v>1.7178570551163484E-2</v>
      </c>
      <c r="H6" s="7">
        <f t="shared" ca="1" si="0"/>
        <v>2.5</v>
      </c>
      <c r="I6" s="9">
        <f ca="1"/>
        <v>1.444258155899315E-2</v>
      </c>
    </row>
    <row r="7" spans="1:9" x14ac:dyDescent="0.55000000000000004">
      <c r="A7" s="7">
        <v>7</v>
      </c>
      <c r="B7" s="7">
        <v>2.2499999999999999E-2</v>
      </c>
      <c r="C7" s="9">
        <f ca="1"/>
        <v>2.2491122386499543E-2</v>
      </c>
      <c r="H7" s="7">
        <f t="shared" ca="1" si="0"/>
        <v>3</v>
      </c>
      <c r="I7" s="9">
        <f ca="1"/>
        <v>1.6429846120636742E-2</v>
      </c>
    </row>
    <row r="8" spans="1:9" x14ac:dyDescent="0.55000000000000004">
      <c r="A8" s="7">
        <v>10</v>
      </c>
      <c r="B8" s="7">
        <v>3.2500000000000001E-2</v>
      </c>
      <c r="C8" s="9">
        <f ca="1"/>
        <v>3.2760534253326666E-2</v>
      </c>
      <c r="H8" s="7">
        <f t="shared" ca="1" si="0"/>
        <v>3.5</v>
      </c>
      <c r="I8" s="9">
        <f ca="1"/>
        <v>1.6617027228268428E-2</v>
      </c>
    </row>
    <row r="9" spans="1:9" x14ac:dyDescent="0.55000000000000004">
      <c r="A9" s="7">
        <v>20</v>
      </c>
      <c r="B9" s="7">
        <v>0.04</v>
      </c>
      <c r="C9" s="9">
        <f ca="1"/>
        <v>4.069859127712875E-2</v>
      </c>
      <c r="H9" s="7">
        <f t="shared" ca="1" si="0"/>
        <v>4</v>
      </c>
      <c r="I9" s="9">
        <f ca="1"/>
        <v>1.6804208335900114E-2</v>
      </c>
    </row>
    <row r="10" spans="1:9" x14ac:dyDescent="0.55000000000000004">
      <c r="A10" s="7">
        <v>30</v>
      </c>
      <c r="B10" s="7">
        <v>4.4999999999999998E-2</v>
      </c>
      <c r="C10" s="9">
        <f ca="1"/>
        <v>4.6820415518513209E-2</v>
      </c>
      <c r="H10" s="7">
        <f t="shared" ca="1" si="0"/>
        <v>4.5</v>
      </c>
      <c r="I10" s="9">
        <f ca="1"/>
        <v>1.6991389443531797E-2</v>
      </c>
    </row>
    <row r="11" spans="1:9" x14ac:dyDescent="0.55000000000000004">
      <c r="H11" s="7">
        <f t="shared" ca="1" si="0"/>
        <v>5</v>
      </c>
      <c r="I11" s="9">
        <f ca="1"/>
        <v>1.7178570551163484E-2</v>
      </c>
    </row>
    <row r="12" spans="1:9" x14ac:dyDescent="0.55000000000000004">
      <c r="H12" s="7">
        <f t="shared" ca="1" si="0"/>
        <v>5.5</v>
      </c>
      <c r="I12" s="9">
        <f ca="1"/>
        <v>1.8506708509997499E-2</v>
      </c>
    </row>
    <row r="13" spans="1:9" x14ac:dyDescent="0.55000000000000004">
      <c r="H13" s="7">
        <f t="shared" ca="1" si="0"/>
        <v>6</v>
      </c>
      <c r="I13" s="9">
        <f ca="1"/>
        <v>1.9834846468831512E-2</v>
      </c>
    </row>
    <row r="14" spans="1:9" x14ac:dyDescent="0.55000000000000004">
      <c r="H14" s="7">
        <f t="shared" ca="1" si="0"/>
        <v>6.5</v>
      </c>
      <c r="I14" s="9">
        <f ca="1"/>
        <v>2.1162984427665527E-2</v>
      </c>
    </row>
    <row r="15" spans="1:9" x14ac:dyDescent="0.55000000000000004">
      <c r="H15" s="7">
        <f t="shared" ca="1" si="0"/>
        <v>7</v>
      </c>
      <c r="I15" s="9">
        <f ca="1"/>
        <v>2.2491122386499543E-2</v>
      </c>
    </row>
    <row r="16" spans="1:9" x14ac:dyDescent="0.55000000000000004">
      <c r="H16" s="7">
        <f t="shared" ca="1" si="0"/>
        <v>7.5</v>
      </c>
      <c r="I16" s="9">
        <f ca="1"/>
        <v>2.4202691030970731E-2</v>
      </c>
    </row>
    <row r="17" spans="8:9" x14ac:dyDescent="0.55000000000000004">
      <c r="H17" s="7">
        <f t="shared" ca="1" si="0"/>
        <v>8</v>
      </c>
      <c r="I17" s="9">
        <f ca="1"/>
        <v>2.5914259675441916E-2</v>
      </c>
    </row>
    <row r="18" spans="8:9" x14ac:dyDescent="0.55000000000000004">
      <c r="H18" s="7">
        <f t="shared" ca="1" si="0"/>
        <v>8.5</v>
      </c>
      <c r="I18" s="9">
        <f ca="1"/>
        <v>2.7625828319913105E-2</v>
      </c>
    </row>
    <row r="19" spans="8:9" x14ac:dyDescent="0.55000000000000004">
      <c r="H19" s="7">
        <f t="shared" ca="1" si="0"/>
        <v>9</v>
      </c>
      <c r="I19" s="9">
        <f ca="1"/>
        <v>2.9337396964384293E-2</v>
      </c>
    </row>
    <row r="20" spans="8:9" x14ac:dyDescent="0.55000000000000004">
      <c r="H20" s="7">
        <f t="shared" ca="1" si="0"/>
        <v>9.5</v>
      </c>
      <c r="I20" s="9">
        <f ca="1"/>
        <v>3.1048965608855478E-2</v>
      </c>
    </row>
    <row r="21" spans="8:9" x14ac:dyDescent="0.55000000000000004">
      <c r="H21" s="7">
        <f t="shared" ca="1" si="0"/>
        <v>10</v>
      </c>
      <c r="I21" s="9">
        <f ca="1"/>
        <v>3.2760534253326666E-2</v>
      </c>
    </row>
    <row r="22" spans="8:9" x14ac:dyDescent="0.55000000000000004">
      <c r="H22" s="7">
        <f t="shared" ca="1" si="0"/>
        <v>10.5</v>
      </c>
      <c r="I22" s="9">
        <f ca="1"/>
        <v>3.3157437104516768E-2</v>
      </c>
    </row>
    <row r="23" spans="8:9" x14ac:dyDescent="0.55000000000000004">
      <c r="H23" s="7">
        <f t="shared" ca="1" si="0"/>
        <v>11</v>
      </c>
      <c r="I23" s="9">
        <f ca="1"/>
        <v>3.3554339955706877E-2</v>
      </c>
    </row>
    <row r="24" spans="8:9" x14ac:dyDescent="0.55000000000000004">
      <c r="H24" s="7">
        <f t="shared" ca="1" si="0"/>
        <v>11.5</v>
      </c>
      <c r="I24" s="9">
        <f ca="1"/>
        <v>3.3951242806896979E-2</v>
      </c>
    </row>
    <row r="25" spans="8:9" x14ac:dyDescent="0.55000000000000004">
      <c r="H25" s="7">
        <f t="shared" ca="1" si="0"/>
        <v>12</v>
      </c>
      <c r="I25" s="9">
        <f ca="1"/>
        <v>3.4348145658087081E-2</v>
      </c>
    </row>
    <row r="26" spans="8:9" x14ac:dyDescent="0.55000000000000004">
      <c r="H26" s="7">
        <f t="shared" ca="1" si="0"/>
        <v>12.5</v>
      </c>
      <c r="I26" s="9">
        <f ca="1"/>
        <v>3.474504850927719E-2</v>
      </c>
    </row>
    <row r="27" spans="8:9" x14ac:dyDescent="0.55000000000000004">
      <c r="H27" s="7">
        <f t="shared" ca="1" si="0"/>
        <v>13</v>
      </c>
      <c r="I27" s="9">
        <f ca="1"/>
        <v>3.5141951360467293E-2</v>
      </c>
    </row>
    <row r="28" spans="8:9" x14ac:dyDescent="0.55000000000000004">
      <c r="H28" s="7">
        <f t="shared" ca="1" si="0"/>
        <v>13.5</v>
      </c>
      <c r="I28" s="9">
        <f ca="1"/>
        <v>3.5538854211657395E-2</v>
      </c>
    </row>
    <row r="29" spans="8:9" x14ac:dyDescent="0.55000000000000004">
      <c r="H29" s="7">
        <f t="shared" ca="1" si="0"/>
        <v>14</v>
      </c>
      <c r="I29" s="9">
        <f ca="1"/>
        <v>3.5935757062847497E-2</v>
      </c>
    </row>
    <row r="30" spans="8:9" x14ac:dyDescent="0.55000000000000004">
      <c r="H30" s="7">
        <f t="shared" ca="1" si="0"/>
        <v>14.5</v>
      </c>
      <c r="I30" s="9">
        <f ca="1"/>
        <v>3.6332659914037606E-2</v>
      </c>
    </row>
    <row r="31" spans="8:9" x14ac:dyDescent="0.55000000000000004">
      <c r="H31" s="7">
        <f t="shared" ca="1" si="0"/>
        <v>15</v>
      </c>
      <c r="I31" s="9">
        <f ca="1"/>
        <v>3.6729562765227708E-2</v>
      </c>
    </row>
    <row r="32" spans="8:9" x14ac:dyDescent="0.55000000000000004">
      <c r="H32" s="7">
        <f t="shared" ca="1" si="0"/>
        <v>15.5</v>
      </c>
      <c r="I32" s="9">
        <f ca="1"/>
        <v>3.712646561641781E-2</v>
      </c>
    </row>
    <row r="33" spans="8:9" x14ac:dyDescent="0.55000000000000004">
      <c r="H33" s="7">
        <f t="shared" ca="1" si="0"/>
        <v>16</v>
      </c>
      <c r="I33" s="9">
        <f ca="1"/>
        <v>3.7523368467607919E-2</v>
      </c>
    </row>
    <row r="34" spans="8:9" x14ac:dyDescent="0.55000000000000004">
      <c r="H34" s="7">
        <f t="shared" ca="1" si="0"/>
        <v>16.5</v>
      </c>
      <c r="I34" s="9">
        <f ca="1"/>
        <v>3.7920271318798021E-2</v>
      </c>
    </row>
    <row r="35" spans="8:9" x14ac:dyDescent="0.55000000000000004">
      <c r="H35" s="7">
        <f t="shared" ca="1" si="0"/>
        <v>17</v>
      </c>
      <c r="I35" s="9">
        <f ca="1"/>
        <v>3.8317174169988123E-2</v>
      </c>
    </row>
    <row r="36" spans="8:9" x14ac:dyDescent="0.55000000000000004">
      <c r="H36" s="7">
        <f t="shared" ca="1" si="0"/>
        <v>17.5</v>
      </c>
      <c r="I36" s="9">
        <f ca="1"/>
        <v>3.8714077021178225E-2</v>
      </c>
    </row>
    <row r="37" spans="8:9" x14ac:dyDescent="0.55000000000000004">
      <c r="H37" s="7">
        <f t="shared" ca="1" si="0"/>
        <v>18</v>
      </c>
      <c r="I37" s="9">
        <f ca="1"/>
        <v>3.9110979872368334E-2</v>
      </c>
    </row>
    <row r="38" spans="8:9" x14ac:dyDescent="0.55000000000000004">
      <c r="H38" s="7">
        <f t="shared" ca="1" si="0"/>
        <v>18.5</v>
      </c>
      <c r="I38" s="9">
        <f ca="1"/>
        <v>3.9507882723558436E-2</v>
      </c>
    </row>
    <row r="39" spans="8:9" x14ac:dyDescent="0.55000000000000004">
      <c r="H39" s="7">
        <f t="shared" ca="1" si="0"/>
        <v>19</v>
      </c>
      <c r="I39" s="9">
        <f ca="1"/>
        <v>3.9904785574748539E-2</v>
      </c>
    </row>
    <row r="40" spans="8:9" x14ac:dyDescent="0.55000000000000004">
      <c r="H40" s="7">
        <f t="shared" ca="1" si="0"/>
        <v>19.5</v>
      </c>
      <c r="I40" s="9">
        <f ca="1"/>
        <v>4.0301688425938648E-2</v>
      </c>
    </row>
    <row r="41" spans="8:9" x14ac:dyDescent="0.55000000000000004">
      <c r="H41" s="7">
        <f t="shared" ca="1" si="0"/>
        <v>20</v>
      </c>
      <c r="I41" s="9">
        <f ca="1"/>
        <v>4.069859127712875E-2</v>
      </c>
    </row>
    <row r="42" spans="8:9" x14ac:dyDescent="0.55000000000000004">
      <c r="H42" s="7">
        <f t="shared" ca="1" si="0"/>
        <v>20.5</v>
      </c>
      <c r="I42" s="9">
        <f ca="1"/>
        <v>4.1004682489197974E-2</v>
      </c>
    </row>
    <row r="43" spans="8:9" x14ac:dyDescent="0.55000000000000004">
      <c r="H43" s="7">
        <f t="shared" ca="1" si="0"/>
        <v>21</v>
      </c>
      <c r="I43" s="9">
        <f ca="1"/>
        <v>4.1310773701267192E-2</v>
      </c>
    </row>
    <row r="44" spans="8:9" x14ac:dyDescent="0.55000000000000004">
      <c r="H44" s="7">
        <f t="shared" ca="1" si="0"/>
        <v>21.5</v>
      </c>
      <c r="I44" s="9">
        <f ca="1"/>
        <v>4.1616864913336417E-2</v>
      </c>
    </row>
    <row r="45" spans="8:9" x14ac:dyDescent="0.55000000000000004">
      <c r="H45" s="7">
        <f t="shared" ca="1" si="0"/>
        <v>22</v>
      </c>
      <c r="I45" s="9">
        <f ca="1"/>
        <v>4.1922956125405642E-2</v>
      </c>
    </row>
    <row r="46" spans="8:9" x14ac:dyDescent="0.55000000000000004">
      <c r="H46" s="7">
        <f t="shared" ca="1" si="0"/>
        <v>22.5</v>
      </c>
      <c r="I46" s="9">
        <f ca="1"/>
        <v>4.2229047337474866E-2</v>
      </c>
    </row>
    <row r="47" spans="8:9" x14ac:dyDescent="0.55000000000000004">
      <c r="H47" s="7">
        <f t="shared" ca="1" si="0"/>
        <v>23</v>
      </c>
      <c r="I47" s="9">
        <f ca="1"/>
        <v>4.2535138549544091E-2</v>
      </c>
    </row>
    <row r="48" spans="8:9" x14ac:dyDescent="0.55000000000000004">
      <c r="H48" s="7">
        <f t="shared" ca="1" si="0"/>
        <v>23.5</v>
      </c>
      <c r="I48" s="9">
        <f ca="1"/>
        <v>4.2841229761613309E-2</v>
      </c>
    </row>
    <row r="49" spans="8:9" x14ac:dyDescent="0.55000000000000004">
      <c r="H49" s="7">
        <f t="shared" ca="1" si="0"/>
        <v>24</v>
      </c>
      <c r="I49" s="9">
        <f ca="1"/>
        <v>4.3147320973682533E-2</v>
      </c>
    </row>
    <row r="50" spans="8:9" x14ac:dyDescent="0.55000000000000004">
      <c r="H50" s="7">
        <f t="shared" ca="1" si="0"/>
        <v>24.5</v>
      </c>
      <c r="I50" s="9">
        <f ca="1"/>
        <v>4.3453412185751758E-2</v>
      </c>
    </row>
    <row r="51" spans="8:9" x14ac:dyDescent="0.55000000000000004">
      <c r="H51" s="7">
        <f t="shared" ca="1" si="0"/>
        <v>25</v>
      </c>
      <c r="I51" s="9">
        <f ca="1"/>
        <v>4.3759503397820976E-2</v>
      </c>
    </row>
    <row r="52" spans="8:9" x14ac:dyDescent="0.55000000000000004">
      <c r="H52" s="7">
        <f t="shared" ca="1" si="0"/>
        <v>25.5</v>
      </c>
      <c r="I52" s="9">
        <f ca="1"/>
        <v>4.40655946098902E-2</v>
      </c>
    </row>
    <row r="53" spans="8:9" x14ac:dyDescent="0.55000000000000004">
      <c r="H53" s="7">
        <f t="shared" ca="1" si="0"/>
        <v>26</v>
      </c>
      <c r="I53" s="9">
        <f ca="1"/>
        <v>4.4371685821959425E-2</v>
      </c>
    </row>
    <row r="54" spans="8:9" x14ac:dyDescent="0.55000000000000004">
      <c r="H54" s="7">
        <f t="shared" ca="1" si="0"/>
        <v>26.5</v>
      </c>
      <c r="I54" s="9">
        <f ca="1"/>
        <v>4.467777703402865E-2</v>
      </c>
    </row>
    <row r="55" spans="8:9" x14ac:dyDescent="0.55000000000000004">
      <c r="H55" s="7">
        <f t="shared" ca="1" si="0"/>
        <v>27</v>
      </c>
      <c r="I55" s="9">
        <f ca="1"/>
        <v>4.4983868246097874E-2</v>
      </c>
    </row>
    <row r="56" spans="8:9" x14ac:dyDescent="0.55000000000000004">
      <c r="H56" s="7">
        <f t="shared" ca="1" si="0"/>
        <v>27.5</v>
      </c>
      <c r="I56" s="9">
        <f ca="1"/>
        <v>4.5289959458167092E-2</v>
      </c>
    </row>
    <row r="57" spans="8:9" x14ac:dyDescent="0.55000000000000004">
      <c r="H57" s="7">
        <f t="shared" ca="1" si="0"/>
        <v>28</v>
      </c>
      <c r="I57" s="9">
        <f ca="1"/>
        <v>4.5596050670236317E-2</v>
      </c>
    </row>
    <row r="58" spans="8:9" x14ac:dyDescent="0.55000000000000004">
      <c r="H58" s="7">
        <f t="shared" ca="1" si="0"/>
        <v>28.5</v>
      </c>
      <c r="I58" s="9">
        <f ca="1"/>
        <v>4.5902141882305542E-2</v>
      </c>
    </row>
    <row r="59" spans="8:9" x14ac:dyDescent="0.55000000000000004">
      <c r="H59" s="7">
        <f t="shared" ca="1" si="0"/>
        <v>29</v>
      </c>
      <c r="I59" s="9">
        <f ca="1"/>
        <v>4.6208233094374759E-2</v>
      </c>
    </row>
    <row r="60" spans="8:9" x14ac:dyDescent="0.55000000000000004">
      <c r="H60" s="7">
        <f t="shared" ca="1" si="0"/>
        <v>29.5</v>
      </c>
      <c r="I60" s="9">
        <f ca="1"/>
        <v>4.6514324306443984E-2</v>
      </c>
    </row>
    <row r="61" spans="8:9" x14ac:dyDescent="0.55000000000000004">
      <c r="H61" s="7">
        <f t="shared" ca="1" si="0"/>
        <v>30</v>
      </c>
      <c r="I61" s="9">
        <f ca="1"/>
        <v>4.6820415518513209E-2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1"/>
  <sheetViews>
    <sheetView workbookViewId="0">
      <selection activeCell="G18" sqref="G18"/>
    </sheetView>
  </sheetViews>
  <sheetFormatPr defaultRowHeight="14.4" x14ac:dyDescent="0.55000000000000004"/>
  <cols>
    <col min="1" max="4" width="17.7890625" customWidth="1"/>
  </cols>
  <sheetData>
    <row r="1" spans="1:4" ht="14.7" thickBot="1" x14ac:dyDescent="0.6">
      <c r="A1" s="6" t="s">
        <v>30</v>
      </c>
      <c r="B1" s="6" t="s">
        <v>4</v>
      </c>
      <c r="C1" s="6" t="s">
        <v>5</v>
      </c>
      <c r="D1" s="6" t="s">
        <v>31</v>
      </c>
    </row>
    <row r="2" spans="1:4" x14ac:dyDescent="0.55000000000000004">
      <c r="A2" s="7">
        <v>1</v>
      </c>
      <c r="B2" s="9">
        <f t="array" aca="1" ref="B2:B31" ca="1">BootstrapZeroRatesExtendedFunc(A2:A31,'Application Part (i)'!A2:B10)</f>
        <v>-1.2507818881432545E-3</v>
      </c>
      <c r="C2" s="9">
        <f t="array" aca="1" ref="C2:C31" ca="1">BootstrapEuriborRatesExtendedFunc(A2:A31,ois_zero_rates, 'Application Part (ii)'!A2:B10)</f>
        <v>6.9872199252959278E-3</v>
      </c>
      <c r="D2" s="9">
        <f ca="1">C2-B2</f>
        <v>8.2380018134391823E-3</v>
      </c>
    </row>
    <row r="3" spans="1:4" x14ac:dyDescent="0.55000000000000004">
      <c r="A3" s="7">
        <f ca="1">A2+1</f>
        <v>2</v>
      </c>
      <c r="B3" s="9">
        <f ca="1"/>
        <v>2.7748799352050879E-18</v>
      </c>
      <c r="C3" s="9">
        <f ca="1"/>
        <v>1.2455316997349558E-2</v>
      </c>
      <c r="D3" s="9">
        <f t="shared" ref="D3:D31" ca="1" si="0">C3-B3</f>
        <v>1.2455316997349555E-2</v>
      </c>
    </row>
    <row r="4" spans="1:4" x14ac:dyDescent="0.55000000000000004">
      <c r="A4" s="7">
        <f t="shared" ref="A4:A31" ca="1" si="1">A3+1</f>
        <v>3</v>
      </c>
      <c r="B4" s="9">
        <f ca="1"/>
        <v>1.2017946511816305E-3</v>
      </c>
      <c r="C4" s="9">
        <f ca="1"/>
        <v>1.6429846120636742E-2</v>
      </c>
      <c r="D4" s="9">
        <f t="shared" ca="1" si="0"/>
        <v>1.5228051469455111E-2</v>
      </c>
    </row>
    <row r="5" spans="1:4" x14ac:dyDescent="0.55000000000000004">
      <c r="A5" s="7">
        <f t="shared" ca="1" si="1"/>
        <v>4</v>
      </c>
      <c r="B5" s="9">
        <f ca="1"/>
        <v>1.8541192011756118E-3</v>
      </c>
      <c r="C5" s="9">
        <f ca="1"/>
        <v>1.6804208335900114E-2</v>
      </c>
      <c r="D5" s="9">
        <f t="shared" ca="1" si="0"/>
        <v>1.4950089134724502E-2</v>
      </c>
    </row>
    <row r="6" spans="1:4" x14ac:dyDescent="0.55000000000000004">
      <c r="A6" s="7">
        <f t="shared" ca="1" si="1"/>
        <v>5</v>
      </c>
      <c r="B6" s="9">
        <f ca="1"/>
        <v>2.5064437511695928E-3</v>
      </c>
      <c r="C6" s="9">
        <f ca="1"/>
        <v>1.7178570551163484E-2</v>
      </c>
      <c r="D6" s="9">
        <f t="shared" ca="1" si="0"/>
        <v>1.4672126799993891E-2</v>
      </c>
    </row>
    <row r="7" spans="1:4" x14ac:dyDescent="0.55000000000000004">
      <c r="A7" s="7">
        <f t="shared" ca="1" si="1"/>
        <v>6</v>
      </c>
      <c r="B7" s="9">
        <f ca="1"/>
        <v>5.0545580374905773E-3</v>
      </c>
      <c r="C7" s="9">
        <f ca="1"/>
        <v>1.9834846468831512E-2</v>
      </c>
      <c r="D7" s="9">
        <f t="shared" ca="1" si="0"/>
        <v>1.4780288431340934E-2</v>
      </c>
    </row>
    <row r="8" spans="1:4" x14ac:dyDescent="0.55000000000000004">
      <c r="A8" s="7">
        <f t="shared" ca="1" si="1"/>
        <v>7</v>
      </c>
      <c r="B8" s="9">
        <f ca="1"/>
        <v>7.6026723238115613E-3</v>
      </c>
      <c r="C8" s="9">
        <f ca="1"/>
        <v>2.2491122386499543E-2</v>
      </c>
      <c r="D8" s="9">
        <f t="shared" ca="1" si="0"/>
        <v>1.4888450062687981E-2</v>
      </c>
    </row>
    <row r="9" spans="1:4" x14ac:dyDescent="0.55000000000000004">
      <c r="A9" s="7">
        <f t="shared" ca="1" si="1"/>
        <v>8</v>
      </c>
      <c r="B9" s="9">
        <f ca="1"/>
        <v>8.4618247681650278E-3</v>
      </c>
      <c r="C9" s="9">
        <f ca="1"/>
        <v>2.5914259675441916E-2</v>
      </c>
      <c r="D9" s="9">
        <f t="shared" ca="1" si="0"/>
        <v>1.7452434907276888E-2</v>
      </c>
    </row>
    <row r="10" spans="1:4" x14ac:dyDescent="0.55000000000000004">
      <c r="A10" s="7">
        <f t="shared" ca="1" si="1"/>
        <v>9</v>
      </c>
      <c r="B10" s="9">
        <f ca="1"/>
        <v>9.3209772125184935E-3</v>
      </c>
      <c r="C10" s="9">
        <f ca="1"/>
        <v>2.9337396964384293E-2</v>
      </c>
      <c r="D10" s="9">
        <f t="shared" ca="1" si="0"/>
        <v>2.0016419751865799E-2</v>
      </c>
    </row>
    <row r="11" spans="1:4" x14ac:dyDescent="0.55000000000000004">
      <c r="A11" s="7">
        <f t="shared" ca="1" si="1"/>
        <v>10</v>
      </c>
      <c r="B11" s="9">
        <f ca="1"/>
        <v>1.0180129656871959E-2</v>
      </c>
      <c r="C11" s="9">
        <f ca="1"/>
        <v>3.2760534253326666E-2</v>
      </c>
      <c r="D11" s="9">
        <f t="shared" ca="1" si="0"/>
        <v>2.2580404596454707E-2</v>
      </c>
    </row>
    <row r="12" spans="1:4" x14ac:dyDescent="0.55000000000000004">
      <c r="A12" s="7">
        <f t="shared" ca="1" si="1"/>
        <v>11</v>
      </c>
      <c r="B12" s="9">
        <f ca="1"/>
        <v>1.0793988518016091E-2</v>
      </c>
      <c r="C12" s="9">
        <f ca="1"/>
        <v>3.3554339955706877E-2</v>
      </c>
      <c r="D12" s="9">
        <f t="shared" ca="1" si="0"/>
        <v>2.2760351437690785E-2</v>
      </c>
    </row>
    <row r="13" spans="1:4" x14ac:dyDescent="0.55000000000000004">
      <c r="A13" s="7">
        <f t="shared" ca="1" si="1"/>
        <v>12</v>
      </c>
      <c r="B13" s="9">
        <f ca="1"/>
        <v>1.1407847379160223E-2</v>
      </c>
      <c r="C13" s="9">
        <f ca="1"/>
        <v>3.4348145658087081E-2</v>
      </c>
      <c r="D13" s="9">
        <f t="shared" ca="1" si="0"/>
        <v>2.2940298278926859E-2</v>
      </c>
    </row>
    <row r="14" spans="1:4" x14ac:dyDescent="0.55000000000000004">
      <c r="A14" s="7">
        <f t="shared" ca="1" si="1"/>
        <v>13</v>
      </c>
      <c r="B14" s="9">
        <f ca="1"/>
        <v>1.2021706240304356E-2</v>
      </c>
      <c r="C14" s="9">
        <f ca="1"/>
        <v>3.5141951360467293E-2</v>
      </c>
      <c r="D14" s="9">
        <f t="shared" ca="1" si="0"/>
        <v>2.3120245120162936E-2</v>
      </c>
    </row>
    <row r="15" spans="1:4" x14ac:dyDescent="0.55000000000000004">
      <c r="A15" s="7">
        <f t="shared" ca="1" si="1"/>
        <v>14</v>
      </c>
      <c r="B15" s="9">
        <f ca="1"/>
        <v>1.2635565101448488E-2</v>
      </c>
      <c r="C15" s="9">
        <f ca="1"/>
        <v>3.5935757062847497E-2</v>
      </c>
      <c r="D15" s="9">
        <f t="shared" ca="1" si="0"/>
        <v>2.3300191961399007E-2</v>
      </c>
    </row>
    <row r="16" spans="1:4" x14ac:dyDescent="0.55000000000000004">
      <c r="A16" s="7">
        <f t="shared" ca="1" si="1"/>
        <v>15</v>
      </c>
      <c r="B16" s="9">
        <f ca="1"/>
        <v>1.324942396259262E-2</v>
      </c>
      <c r="C16" s="9">
        <f ca="1"/>
        <v>3.6729562765227708E-2</v>
      </c>
      <c r="D16" s="9">
        <f t="shared" ca="1" si="0"/>
        <v>2.3480138802635088E-2</v>
      </c>
    </row>
    <row r="17" spans="1:4" x14ac:dyDescent="0.55000000000000004">
      <c r="A17" s="7">
        <f t="shared" ca="1" si="1"/>
        <v>16</v>
      </c>
      <c r="B17" s="9">
        <f ca="1"/>
        <v>1.3863282823736752E-2</v>
      </c>
      <c r="C17" s="9">
        <f ca="1"/>
        <v>3.7523368467607919E-2</v>
      </c>
      <c r="D17" s="9">
        <f t="shared" ca="1" si="0"/>
        <v>2.3660085643871169E-2</v>
      </c>
    </row>
    <row r="18" spans="1:4" x14ac:dyDescent="0.55000000000000004">
      <c r="A18" s="7">
        <f t="shared" ca="1" si="1"/>
        <v>17</v>
      </c>
      <c r="B18" s="9">
        <f ca="1"/>
        <v>1.4477141684880884E-2</v>
      </c>
      <c r="C18" s="9">
        <f ca="1"/>
        <v>3.8317174169988123E-2</v>
      </c>
      <c r="D18" s="9">
        <f t="shared" ca="1" si="0"/>
        <v>2.384003248510724E-2</v>
      </c>
    </row>
    <row r="19" spans="1:4" x14ac:dyDescent="0.55000000000000004">
      <c r="A19" s="7">
        <f t="shared" ca="1" si="1"/>
        <v>18</v>
      </c>
      <c r="B19" s="9">
        <f ca="1"/>
        <v>1.5091000546025017E-2</v>
      </c>
      <c r="C19" s="9">
        <f ca="1"/>
        <v>3.9110979872368334E-2</v>
      </c>
      <c r="D19" s="9">
        <f t="shared" ca="1" si="0"/>
        <v>2.4019979326343317E-2</v>
      </c>
    </row>
    <row r="20" spans="1:4" x14ac:dyDescent="0.55000000000000004">
      <c r="A20" s="7">
        <f ca="1">A19+1</f>
        <v>19</v>
      </c>
      <c r="B20" s="9">
        <f ca="1"/>
        <v>1.5704859407169147E-2</v>
      </c>
      <c r="C20" s="9">
        <f ca="1"/>
        <v>3.9904785574748539E-2</v>
      </c>
      <c r="D20" s="9">
        <f t="shared" ca="1" si="0"/>
        <v>2.4199926167579391E-2</v>
      </c>
    </row>
    <row r="21" spans="1:4" x14ac:dyDescent="0.55000000000000004">
      <c r="A21" s="7">
        <f t="shared" ca="1" si="1"/>
        <v>20</v>
      </c>
      <c r="B21" s="9">
        <f ca="1"/>
        <v>1.6318718268313281E-2</v>
      </c>
      <c r="C21" s="9">
        <f ca="1"/>
        <v>4.069859127712875E-2</v>
      </c>
      <c r="D21" s="9">
        <f t="shared" ca="1" si="0"/>
        <v>2.4379873008815469E-2</v>
      </c>
    </row>
    <row r="22" spans="1:4" x14ac:dyDescent="0.55000000000000004">
      <c r="A22" s="7">
        <f t="shared" ca="1" si="1"/>
        <v>21</v>
      </c>
      <c r="B22" s="9">
        <f ca="1"/>
        <v>1.6932577129457414E-2</v>
      </c>
      <c r="C22" s="9">
        <f ca="1"/>
        <v>4.1310773701267192E-2</v>
      </c>
      <c r="D22" s="9">
        <f t="shared" ca="1" si="0"/>
        <v>2.4378196571809778E-2</v>
      </c>
    </row>
    <row r="23" spans="1:4" x14ac:dyDescent="0.55000000000000004">
      <c r="A23" s="7">
        <f t="shared" ca="1" si="1"/>
        <v>22</v>
      </c>
      <c r="B23" s="9">
        <f ca="1"/>
        <v>1.7546435990601544E-2</v>
      </c>
      <c r="C23" s="9">
        <f ca="1"/>
        <v>4.1922956125405642E-2</v>
      </c>
      <c r="D23" s="9">
        <f t="shared" ca="1" si="0"/>
        <v>2.4376520134804097E-2</v>
      </c>
    </row>
    <row r="24" spans="1:4" x14ac:dyDescent="0.55000000000000004">
      <c r="A24" s="7">
        <f t="shared" ca="1" si="1"/>
        <v>23</v>
      </c>
      <c r="B24" s="9">
        <f ca="1"/>
        <v>1.8160294851745678E-2</v>
      </c>
      <c r="C24" s="9">
        <f ca="1"/>
        <v>4.2535138549544091E-2</v>
      </c>
      <c r="D24" s="9">
        <f t="shared" ca="1" si="0"/>
        <v>2.4374843697798413E-2</v>
      </c>
    </row>
    <row r="25" spans="1:4" x14ac:dyDescent="0.55000000000000004">
      <c r="A25" s="7">
        <f t="shared" ca="1" si="1"/>
        <v>24</v>
      </c>
      <c r="B25" s="9">
        <f ca="1"/>
        <v>1.8774153712889808E-2</v>
      </c>
      <c r="C25" s="9">
        <f ca="1"/>
        <v>4.3147320973682533E-2</v>
      </c>
      <c r="D25" s="9">
        <f t="shared" ca="1" si="0"/>
        <v>2.4373167260792725E-2</v>
      </c>
    </row>
    <row r="26" spans="1:4" x14ac:dyDescent="0.55000000000000004">
      <c r="A26" s="7">
        <f t="shared" ca="1" si="1"/>
        <v>25</v>
      </c>
      <c r="B26" s="9">
        <f ca="1"/>
        <v>1.9388012574033942E-2</v>
      </c>
      <c r="C26" s="9">
        <f ca="1"/>
        <v>4.3759503397820976E-2</v>
      </c>
      <c r="D26" s="9">
        <f t="shared" ca="1" si="0"/>
        <v>2.4371490823787034E-2</v>
      </c>
    </row>
    <row r="27" spans="1:4" x14ac:dyDescent="0.55000000000000004">
      <c r="A27" s="7">
        <f t="shared" ca="1" si="1"/>
        <v>26</v>
      </c>
      <c r="B27" s="9">
        <f ca="1"/>
        <v>2.0001871435178075E-2</v>
      </c>
      <c r="C27" s="9">
        <f ca="1"/>
        <v>4.4371685821959425E-2</v>
      </c>
      <c r="D27" s="9">
        <f t="shared" ca="1" si="0"/>
        <v>2.436981438678135E-2</v>
      </c>
    </row>
    <row r="28" spans="1:4" x14ac:dyDescent="0.55000000000000004">
      <c r="A28" s="7">
        <f t="shared" ca="1" si="1"/>
        <v>27</v>
      </c>
      <c r="B28" s="9">
        <f ca="1"/>
        <v>2.0615730296322205E-2</v>
      </c>
      <c r="C28" s="9">
        <f ca="1"/>
        <v>4.4983868246097874E-2</v>
      </c>
      <c r="D28" s="9">
        <f t="shared" ca="1" si="0"/>
        <v>2.4368137949775669E-2</v>
      </c>
    </row>
    <row r="29" spans="1:4" x14ac:dyDescent="0.55000000000000004">
      <c r="A29" s="7">
        <f t="shared" ca="1" si="1"/>
        <v>28</v>
      </c>
      <c r="B29" s="9">
        <f ca="1"/>
        <v>2.1229589157466339E-2</v>
      </c>
      <c r="C29" s="9">
        <f ca="1"/>
        <v>4.5596050670236317E-2</v>
      </c>
      <c r="D29" s="9">
        <f t="shared" ca="1" si="0"/>
        <v>2.4366461512769978E-2</v>
      </c>
    </row>
    <row r="30" spans="1:4" x14ac:dyDescent="0.55000000000000004">
      <c r="A30" s="7">
        <f t="shared" ca="1" si="1"/>
        <v>29</v>
      </c>
      <c r="B30" s="9">
        <f ca="1"/>
        <v>2.1843448018610469E-2</v>
      </c>
      <c r="C30" s="9">
        <f ca="1"/>
        <v>4.6208233094374759E-2</v>
      </c>
      <c r="D30" s="9">
        <f t="shared" ca="1" si="0"/>
        <v>2.4364785075764291E-2</v>
      </c>
    </row>
    <row r="31" spans="1:4" x14ac:dyDescent="0.55000000000000004">
      <c r="A31" s="7">
        <f t="shared" ca="1" si="1"/>
        <v>30</v>
      </c>
      <c r="B31" s="9">
        <f ca="1"/>
        <v>2.2457306879754602E-2</v>
      </c>
      <c r="C31" s="9">
        <f ca="1"/>
        <v>4.6820415518513209E-2</v>
      </c>
      <c r="D31" s="9">
        <f t="shared" ca="1" si="0"/>
        <v>2.4363108638758606E-2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49"/>
  <sheetViews>
    <sheetView workbookViewId="0">
      <selection activeCell="K11" sqref="K11"/>
    </sheetView>
  </sheetViews>
  <sheetFormatPr defaultRowHeight="14.4" x14ac:dyDescent="0.55000000000000004"/>
  <cols>
    <col min="2" max="2" width="12" bestFit="1" customWidth="1"/>
    <col min="3" max="3" width="14.3125" bestFit="1" customWidth="1"/>
    <col min="5" max="5" width="19.89453125" bestFit="1" customWidth="1"/>
    <col min="8" max="8" width="12" bestFit="1" customWidth="1"/>
    <col min="9" max="9" width="14.3125" bestFit="1" customWidth="1"/>
    <col min="10" max="10" width="8" bestFit="1" customWidth="1"/>
    <col min="11" max="11" width="20.5234375" bestFit="1" customWidth="1"/>
    <col min="12" max="12" width="20.5234375" customWidth="1"/>
    <col min="15" max="15" width="12" bestFit="1" customWidth="1"/>
    <col min="16" max="16" width="14.3125" bestFit="1" customWidth="1"/>
    <col min="17" max="17" width="8" bestFit="1" customWidth="1"/>
    <col min="18" max="18" width="20.5234375" bestFit="1" customWidth="1"/>
    <col min="19" max="19" width="17.68359375" bestFit="1" customWidth="1"/>
  </cols>
  <sheetData>
    <row r="1" spans="1:19" ht="15" customHeight="1" x14ac:dyDescent="0.55000000000000004"/>
    <row r="2" spans="1:19" s="3" customFormat="1" x14ac:dyDescent="0.55000000000000004">
      <c r="A2" s="3" t="s">
        <v>6</v>
      </c>
    </row>
    <row r="3" spans="1:19" ht="15" customHeight="1" x14ac:dyDescent="0.55000000000000004"/>
    <row r="4" spans="1:19" ht="15" customHeight="1" x14ac:dyDescent="0.55000000000000004">
      <c r="A4" t="s">
        <v>12</v>
      </c>
    </row>
    <row r="6" spans="1:19" x14ac:dyDescent="0.55000000000000004">
      <c r="A6" s="11" t="s">
        <v>13</v>
      </c>
      <c r="B6" s="12"/>
      <c r="C6" s="12"/>
    </row>
    <row r="7" spans="1:19" x14ac:dyDescent="0.55000000000000004">
      <c r="G7" s="14" t="s">
        <v>14</v>
      </c>
      <c r="H7" s="14"/>
      <c r="I7" s="14"/>
      <c r="J7" s="14"/>
      <c r="K7" s="14"/>
      <c r="L7" s="5"/>
      <c r="N7" s="14" t="s">
        <v>15</v>
      </c>
      <c r="O7" s="14"/>
      <c r="P7" s="14"/>
      <c r="Q7" s="14"/>
      <c r="R7" s="14"/>
    </row>
    <row r="8" spans="1:19" x14ac:dyDescent="0.55000000000000004">
      <c r="A8" t="s">
        <v>7</v>
      </c>
      <c r="B8" t="s">
        <v>8</v>
      </c>
      <c r="C8" t="s">
        <v>9</v>
      </c>
      <c r="D8" t="s">
        <v>10</v>
      </c>
      <c r="E8" s="4" t="s">
        <v>11</v>
      </c>
      <c r="G8" t="s">
        <v>7</v>
      </c>
      <c r="H8" t="s">
        <v>8</v>
      </c>
      <c r="I8" t="s">
        <v>9</v>
      </c>
      <c r="J8" t="s">
        <v>10</v>
      </c>
      <c r="K8" s="4" t="s">
        <v>11</v>
      </c>
      <c r="L8" s="4" t="s">
        <v>18</v>
      </c>
      <c r="N8" t="s">
        <v>7</v>
      </c>
      <c r="O8" t="s">
        <v>8</v>
      </c>
      <c r="P8" t="s">
        <v>9</v>
      </c>
      <c r="Q8" t="s">
        <v>10</v>
      </c>
      <c r="R8" s="4" t="s">
        <v>11</v>
      </c>
      <c r="S8" s="4" t="s">
        <v>18</v>
      </c>
    </row>
    <row r="9" spans="1:19" x14ac:dyDescent="0.55000000000000004">
      <c r="A9">
        <v>0</v>
      </c>
      <c r="B9">
        <v>0</v>
      </c>
      <c r="C9">
        <v>5.4999999999999997E-3</v>
      </c>
      <c r="D9">
        <v>0.5</v>
      </c>
      <c r="E9" s="13">
        <f t="shared" ref="E9:E17" ca="1" si="0">GetReceiverSwapNPV(ois_zero_rates, euribor_zero_rates, A9,B9,C9,D9)</f>
        <v>-5.1624738262034953E-8</v>
      </c>
      <c r="G9">
        <v>1E-3</v>
      </c>
      <c r="H9">
        <v>1E-3</v>
      </c>
      <c r="I9">
        <v>5.4999999999999997E-3</v>
      </c>
      <c r="J9">
        <v>0.5</v>
      </c>
      <c r="K9" s="13">
        <f t="array" aca="1" ref="K9" ca="1">GetReceiverSwapNPV(ois_zero_rates, euribor_zero_rates, G9,H9,I9,J9)</f>
        <v>-5.0187702857874683</v>
      </c>
      <c r="L9" s="13">
        <f ca="1">K9-E9</f>
        <v>-5.01877023416273</v>
      </c>
      <c r="N9">
        <v>-1E-3</v>
      </c>
      <c r="O9">
        <v>-1E-3</v>
      </c>
      <c r="P9">
        <v>5.4999999999999997E-3</v>
      </c>
      <c r="Q9">
        <v>0.5</v>
      </c>
      <c r="R9" s="13">
        <f t="shared" ref="R9:R17" ca="1" si="1">GetReceiverSwapNPV(ois_zero_rates, euribor_zero_rates, N9,O9,P9,Q9)</f>
        <v>5.0212801951074653</v>
      </c>
      <c r="S9" s="13">
        <f ca="1">R9-E9</f>
        <v>5.0212802467322035</v>
      </c>
    </row>
    <row r="10" spans="1:19" x14ac:dyDescent="0.55000000000000004">
      <c r="A10">
        <v>0</v>
      </c>
      <c r="B10">
        <v>0</v>
      </c>
      <c r="C10">
        <v>7.0000000000000001E-3</v>
      </c>
      <c r="D10">
        <v>1</v>
      </c>
      <c r="E10" s="13">
        <f t="shared" ca="1" si="0"/>
        <v>3.637978807091713E-12</v>
      </c>
      <c r="G10">
        <v>1E-3</v>
      </c>
      <c r="H10">
        <v>1E-3</v>
      </c>
      <c r="I10">
        <v>7.0000000000000001E-3</v>
      </c>
      <c r="J10">
        <v>1</v>
      </c>
      <c r="K10" s="13">
        <f ca="1">GetReceiverSwapNPV(ois_zero_rates, euribor_zero_rates, G10,H10,I10,J10)</f>
        <v>-10.038783588857768</v>
      </c>
      <c r="L10" s="13">
        <f t="shared" ref="L10:L17" ca="1" si="2">K10-E10</f>
        <v>-10.038783588861406</v>
      </c>
      <c r="N10">
        <v>-1E-3</v>
      </c>
      <c r="O10">
        <v>-1E-3</v>
      </c>
      <c r="P10">
        <v>7.0000000000000001E-3</v>
      </c>
      <c r="Q10">
        <v>1</v>
      </c>
      <c r="R10" s="13">
        <f t="shared" ca="1" si="1"/>
        <v>10.048829271801878</v>
      </c>
      <c r="S10" s="13">
        <f t="shared" ref="S10:S17" ca="1" si="3">R10-E10</f>
        <v>10.04882927179824</v>
      </c>
    </row>
    <row r="11" spans="1:19" x14ac:dyDescent="0.55000000000000004">
      <c r="A11">
        <v>0</v>
      </c>
      <c r="B11">
        <v>0</v>
      </c>
      <c r="C11">
        <v>1.2500000000000001E-2</v>
      </c>
      <c r="D11">
        <v>2</v>
      </c>
      <c r="E11" s="13">
        <f t="shared" ca="1" si="0"/>
        <v>3.2741809263825417E-11</v>
      </c>
      <c r="G11">
        <v>1E-3</v>
      </c>
      <c r="H11">
        <v>1E-3</v>
      </c>
      <c r="I11">
        <v>1.2500000000000001E-2</v>
      </c>
      <c r="J11">
        <v>2</v>
      </c>
      <c r="K11" s="13">
        <f t="shared" ref="K9:K17" ca="1" si="4">GetReceiverSwapNPV(ois_zero_rates, euribor_zero_rates, G11,H11,I11,J11)</f>
        <v>-20.055582022241651</v>
      </c>
      <c r="L11" s="13">
        <f t="shared" ca="1" si="2"/>
        <v>-20.055582022274393</v>
      </c>
      <c r="N11">
        <v>-1E-3</v>
      </c>
      <c r="O11">
        <v>-1E-3</v>
      </c>
      <c r="P11">
        <v>1.2500000000000001E-2</v>
      </c>
      <c r="Q11">
        <v>2</v>
      </c>
      <c r="R11" s="13">
        <f t="shared" ca="1" si="1"/>
        <v>20.095752357618039</v>
      </c>
      <c r="S11" s="13">
        <f t="shared" ca="1" si="3"/>
        <v>20.095752357585297</v>
      </c>
    </row>
    <row r="12" spans="1:19" x14ac:dyDescent="0.55000000000000004">
      <c r="A12">
        <v>0</v>
      </c>
      <c r="B12">
        <v>0</v>
      </c>
      <c r="C12">
        <v>1.6500000000000001E-2</v>
      </c>
      <c r="D12">
        <v>3</v>
      </c>
      <c r="E12" s="13">
        <f t="shared" ca="1" si="0"/>
        <v>9.0039975475519896E-10</v>
      </c>
      <c r="G12">
        <v>1E-3</v>
      </c>
      <c r="H12">
        <v>1E-3</v>
      </c>
      <c r="I12">
        <v>1.6500000000000001E-2</v>
      </c>
      <c r="J12">
        <v>3</v>
      </c>
      <c r="K12" s="13">
        <f t="shared" ca="1" si="4"/>
        <v>-30.002323764358152</v>
      </c>
      <c r="L12" s="13">
        <f t="shared" ca="1" si="2"/>
        <v>-30.002323765258552</v>
      </c>
      <c r="N12">
        <v>-1E-3</v>
      </c>
      <c r="O12">
        <v>-1E-3</v>
      </c>
      <c r="P12">
        <v>1.6500000000000001E-2</v>
      </c>
      <c r="Q12">
        <v>3</v>
      </c>
      <c r="R12" s="13">
        <f t="shared" ca="1" si="1"/>
        <v>30.092490069057021</v>
      </c>
      <c r="S12" s="13">
        <f t="shared" ca="1" si="3"/>
        <v>30.092490068156621</v>
      </c>
    </row>
    <row r="13" spans="1:19" x14ac:dyDescent="0.55000000000000004">
      <c r="A13">
        <v>0</v>
      </c>
      <c r="B13">
        <v>0</v>
      </c>
      <c r="C13">
        <v>1.7250000000000001E-2</v>
      </c>
      <c r="D13">
        <v>5</v>
      </c>
      <c r="E13" s="13">
        <f t="shared" ca="1" si="0"/>
        <v>4.9112713895738125E-10</v>
      </c>
      <c r="G13">
        <v>1E-3</v>
      </c>
      <c r="H13">
        <v>1E-3</v>
      </c>
      <c r="I13">
        <v>1.7250000000000001E-2</v>
      </c>
      <c r="J13">
        <v>5</v>
      </c>
      <c r="K13" s="13">
        <f t="shared" ca="1" si="4"/>
        <v>-49.869297011220624</v>
      </c>
      <c r="L13" s="13">
        <f t="shared" ca="1" si="2"/>
        <v>-49.869297011711751</v>
      </c>
      <c r="N13">
        <v>-1E-3</v>
      </c>
      <c r="O13">
        <v>-1E-3</v>
      </c>
      <c r="P13">
        <v>1.7250000000000001E-2</v>
      </c>
      <c r="Q13">
        <v>5</v>
      </c>
      <c r="R13" s="13">
        <f t="shared" ca="1" si="1"/>
        <v>50.119101248048537</v>
      </c>
      <c r="S13" s="13">
        <f t="shared" ca="1" si="3"/>
        <v>50.11910124755741</v>
      </c>
    </row>
    <row r="14" spans="1:19" x14ac:dyDescent="0.55000000000000004">
      <c r="A14">
        <v>0</v>
      </c>
      <c r="B14">
        <v>0</v>
      </c>
      <c r="C14">
        <v>2.2499999999999999E-2</v>
      </c>
      <c r="D14">
        <v>7</v>
      </c>
      <c r="E14" s="13">
        <f t="shared" ca="1" si="0"/>
        <v>5.5842974688857794E-9</v>
      </c>
      <c r="G14">
        <v>1E-3</v>
      </c>
      <c r="H14">
        <v>1E-3</v>
      </c>
      <c r="I14">
        <v>2.2499999999999999E-2</v>
      </c>
      <c r="J14">
        <v>7</v>
      </c>
      <c r="K14" s="13">
        <f t="shared" ca="1" si="4"/>
        <v>-68.443006181038072</v>
      </c>
      <c r="L14" s="13">
        <f t="shared" ca="1" si="2"/>
        <v>-68.44300618662237</v>
      </c>
      <c r="N14">
        <v>-1E-3</v>
      </c>
      <c r="O14">
        <v>-1E-3</v>
      </c>
      <c r="P14">
        <v>2.2499999999999999E-2</v>
      </c>
      <c r="Q14">
        <v>7</v>
      </c>
      <c r="R14" s="13">
        <f t="shared" ca="1" si="1"/>
        <v>68.920021985613857</v>
      </c>
      <c r="S14" s="13">
        <f t="shared" ca="1" si="3"/>
        <v>68.92002198002956</v>
      </c>
    </row>
    <row r="15" spans="1:19" x14ac:dyDescent="0.55000000000000004">
      <c r="A15">
        <v>0</v>
      </c>
      <c r="B15">
        <v>0</v>
      </c>
      <c r="C15">
        <v>3.2500000000000001E-2</v>
      </c>
      <c r="D15">
        <v>10</v>
      </c>
      <c r="E15" s="13">
        <f t="shared" ca="1" si="0"/>
        <v>1.7153070075437427E-9</v>
      </c>
      <c r="G15">
        <v>1E-3</v>
      </c>
      <c r="H15">
        <v>1E-3</v>
      </c>
      <c r="I15">
        <v>3.2500000000000001E-2</v>
      </c>
      <c r="J15">
        <v>10</v>
      </c>
      <c r="K15" s="13">
        <f t="shared" ca="1" si="4"/>
        <v>-93.097671426543457</v>
      </c>
      <c r="L15" s="13">
        <f t="shared" ca="1" si="2"/>
        <v>-93.097671428258764</v>
      </c>
      <c r="N15">
        <v>-1E-3</v>
      </c>
      <c r="O15">
        <v>-1E-3</v>
      </c>
      <c r="P15">
        <v>3.2500000000000001E-2</v>
      </c>
      <c r="Q15">
        <v>10</v>
      </c>
      <c r="R15" s="13">
        <f t="shared" ca="1" si="1"/>
        <v>94.014964107193009</v>
      </c>
      <c r="S15" s="13">
        <f t="shared" ca="1" si="3"/>
        <v>94.014964105477702</v>
      </c>
    </row>
    <row r="16" spans="1:19" x14ac:dyDescent="0.55000000000000004">
      <c r="A16">
        <v>0</v>
      </c>
      <c r="B16">
        <v>0</v>
      </c>
      <c r="C16">
        <v>0.04</v>
      </c>
      <c r="D16">
        <v>20</v>
      </c>
      <c r="E16" s="13">
        <f t="shared" ca="1" si="0"/>
        <v>7.2759576141834259E-12</v>
      </c>
      <c r="G16">
        <v>1E-3</v>
      </c>
      <c r="H16">
        <v>1E-3</v>
      </c>
      <c r="I16">
        <v>0.04</v>
      </c>
      <c r="J16">
        <v>20</v>
      </c>
      <c r="K16" s="13">
        <f t="shared" ca="1" si="4"/>
        <v>-166.94181001473589</v>
      </c>
      <c r="L16" s="13">
        <f t="shared" ca="1" si="2"/>
        <v>-166.94181001474317</v>
      </c>
      <c r="N16">
        <v>-1E-3</v>
      </c>
      <c r="O16">
        <v>-1E-3</v>
      </c>
      <c r="P16">
        <v>0.04</v>
      </c>
      <c r="Q16">
        <v>20</v>
      </c>
      <c r="R16" s="13">
        <f t="shared" ca="1" si="1"/>
        <v>170.14827280961981</v>
      </c>
      <c r="S16" s="13">
        <f t="shared" ca="1" si="3"/>
        <v>170.14827280961254</v>
      </c>
    </row>
    <row r="17" spans="1:19" x14ac:dyDescent="0.55000000000000004">
      <c r="A17">
        <v>0</v>
      </c>
      <c r="B17">
        <v>0</v>
      </c>
      <c r="C17">
        <v>4.4999999999999998E-2</v>
      </c>
      <c r="D17">
        <v>30</v>
      </c>
      <c r="E17" s="13">
        <f t="shared" ca="1" si="0"/>
        <v>-5.4569682106375694E-12</v>
      </c>
      <c r="G17">
        <v>1E-3</v>
      </c>
      <c r="H17">
        <v>1E-3</v>
      </c>
      <c r="I17">
        <v>4.4999999999999998E-2</v>
      </c>
      <c r="J17">
        <v>30</v>
      </c>
      <c r="K17" s="13">
        <f t="shared" ca="1" si="4"/>
        <v>-214.27620535853202</v>
      </c>
      <c r="L17" s="13">
        <f t="shared" ca="1" si="2"/>
        <v>-214.27620535852657</v>
      </c>
      <c r="N17">
        <v>-1E-3</v>
      </c>
      <c r="O17">
        <v>-1E-3</v>
      </c>
      <c r="P17">
        <v>4.4999999999999998E-2</v>
      </c>
      <c r="Q17">
        <v>30</v>
      </c>
      <c r="R17" s="13">
        <f t="shared" ca="1" si="1"/>
        <v>220.10928176446396</v>
      </c>
      <c r="S17" s="13">
        <f t="shared" ca="1" si="3"/>
        <v>220.10928176446942</v>
      </c>
    </row>
    <row r="19" spans="1:19" x14ac:dyDescent="0.55000000000000004">
      <c r="A19" s="11" t="s">
        <v>16</v>
      </c>
      <c r="B19" s="12"/>
      <c r="C19" s="12"/>
      <c r="D19" s="12"/>
    </row>
    <row r="20" spans="1:19" x14ac:dyDescent="0.55000000000000004">
      <c r="G20" s="14" t="s">
        <v>14</v>
      </c>
      <c r="H20" s="14"/>
      <c r="I20" s="14"/>
      <c r="J20" s="14"/>
      <c r="K20" s="14"/>
      <c r="L20" s="5"/>
      <c r="N20" s="14" t="s">
        <v>15</v>
      </c>
      <c r="O20" s="14"/>
      <c r="P20" s="14"/>
      <c r="Q20" s="14"/>
      <c r="R20" s="14"/>
    </row>
    <row r="21" spans="1:19" x14ac:dyDescent="0.55000000000000004">
      <c r="A21" t="s">
        <v>7</v>
      </c>
      <c r="B21" t="s">
        <v>8</v>
      </c>
      <c r="C21" t="s">
        <v>9</v>
      </c>
      <c r="D21" t="s">
        <v>10</v>
      </c>
      <c r="E21" s="4" t="s">
        <v>11</v>
      </c>
      <c r="G21" t="s">
        <v>7</v>
      </c>
      <c r="H21" t="s">
        <v>8</v>
      </c>
      <c r="I21" t="s">
        <v>9</v>
      </c>
      <c r="J21" t="s">
        <v>10</v>
      </c>
      <c r="K21" s="4" t="s">
        <v>11</v>
      </c>
      <c r="L21" s="4" t="s">
        <v>18</v>
      </c>
      <c r="N21" t="s">
        <v>7</v>
      </c>
      <c r="O21" t="s">
        <v>8</v>
      </c>
      <c r="P21" t="s">
        <v>9</v>
      </c>
      <c r="Q21" t="s">
        <v>10</v>
      </c>
      <c r="R21" s="4" t="s">
        <v>11</v>
      </c>
      <c r="S21" s="4" t="s">
        <v>18</v>
      </c>
    </row>
    <row r="22" spans="1:19" x14ac:dyDescent="0.55000000000000004">
      <c r="A22">
        <v>0</v>
      </c>
      <c r="B22">
        <v>0</v>
      </c>
      <c r="C22">
        <f ca="1">C9-0.001</f>
        <v>4.4999999999999997E-3</v>
      </c>
      <c r="D22">
        <v>0.5</v>
      </c>
      <c r="E22" s="13">
        <f t="shared" ref="E22:E30" ca="1" si="5">GetReceiverSwapNPV(ois_zero_rates, euribor_zero_rates, A22,B22,C22,D22)</f>
        <v>-5.0062578738943557</v>
      </c>
      <c r="G22">
        <v>1E-3</v>
      </c>
      <c r="H22">
        <v>1E-3</v>
      </c>
      <c r="I22">
        <f ca="1">C22</f>
        <v>4.4999999999999997E-3</v>
      </c>
      <c r="J22">
        <f ca="1">D22</f>
        <v>0.5</v>
      </c>
      <c r="K22" s="13">
        <f t="shared" ref="K22:K30" ca="1" si="6">GetReceiverSwapNPV(ois_zero_rates, euribor_zero_rates, G22,H22,I22,J22)</f>
        <v>-10.022525604823386</v>
      </c>
      <c r="L22" s="13">
        <f ca="1">K22-E22</f>
        <v>-5.0162677309290302</v>
      </c>
      <c r="N22">
        <v>-1E-3</v>
      </c>
      <c r="O22">
        <v>-1E-3</v>
      </c>
      <c r="P22">
        <f ca="1">C22</f>
        <v>4.4999999999999997E-3</v>
      </c>
      <c r="Q22">
        <f ca="1">D22</f>
        <v>0.5</v>
      </c>
      <c r="R22" s="13">
        <f t="shared" ref="R22:R30" ca="1" si="7">GetReceiverSwapNPV(ois_zero_rates, euribor_zero_rates, N22,O22,P22,Q22)</f>
        <v>1.2518618041212903E-2</v>
      </c>
      <c r="S22" s="13">
        <f ca="1">R22-E22</f>
        <v>5.0187764919355686</v>
      </c>
    </row>
    <row r="23" spans="1:19" x14ac:dyDescent="0.55000000000000004">
      <c r="A23">
        <v>0</v>
      </c>
      <c r="B23">
        <v>0</v>
      </c>
      <c r="C23">
        <f t="shared" ref="C23:C30" ca="1" si="8">C10-0.001</f>
        <v>6.0000000000000001E-3</v>
      </c>
      <c r="D23">
        <v>1</v>
      </c>
      <c r="E23" s="13">
        <f t="shared" ca="1" si="5"/>
        <v>-10.012515644473751</v>
      </c>
      <c r="G23">
        <v>1E-3</v>
      </c>
      <c r="H23">
        <v>1E-3</v>
      </c>
      <c r="I23">
        <f t="shared" ref="I23:I30" ca="1" si="9">C23</f>
        <v>6.0000000000000001E-3</v>
      </c>
      <c r="J23">
        <f t="shared" ref="J23:J30" ca="1" si="10">D23</f>
        <v>1</v>
      </c>
      <c r="K23" s="13">
        <f t="shared" ca="1" si="6"/>
        <v>-20.043792974576718</v>
      </c>
      <c r="L23" s="13">
        <f t="shared" ref="L23:L30" ca="1" si="11">K23-E23</f>
        <v>-10.031277330102967</v>
      </c>
      <c r="N23">
        <v>-1E-3</v>
      </c>
      <c r="O23">
        <v>-1E-3</v>
      </c>
      <c r="P23">
        <f t="shared" ref="P23:P30" ca="1" si="12">C23</f>
        <v>6.0000000000000001E-3</v>
      </c>
      <c r="Q23">
        <f t="shared" ref="Q23:Q30" ca="1" si="13">D23</f>
        <v>1</v>
      </c>
      <c r="R23" s="13">
        <f t="shared" ca="1" si="7"/>
        <v>2.8801110738641E-2</v>
      </c>
      <c r="S23" s="13">
        <f t="shared" ref="S23:S30" ca="1" si="14">R23-E23</f>
        <v>10.041316755212392</v>
      </c>
    </row>
    <row r="24" spans="1:19" x14ac:dyDescent="0.55000000000000004">
      <c r="A24">
        <v>0</v>
      </c>
      <c r="B24">
        <v>0</v>
      </c>
      <c r="C24">
        <f t="shared" ca="1" si="8"/>
        <v>1.15E-2</v>
      </c>
      <c r="D24">
        <v>2</v>
      </c>
      <c r="E24" s="13">
        <f t="shared" ca="1" si="5"/>
        <v>-20.016269711793939</v>
      </c>
      <c r="G24">
        <v>1E-3</v>
      </c>
      <c r="H24">
        <v>1E-3</v>
      </c>
      <c r="I24">
        <f t="shared" ca="1" si="9"/>
        <v>1.15E-2</v>
      </c>
      <c r="J24">
        <f t="shared" ca="1" si="10"/>
        <v>2</v>
      </c>
      <c r="K24" s="13">
        <f t="shared" ca="1" si="6"/>
        <v>-40.04685546395558</v>
      </c>
      <c r="L24" s="13">
        <f t="shared" ca="1" si="11"/>
        <v>-20.030585752161642</v>
      </c>
      <c r="N24">
        <v>-1E-3</v>
      </c>
      <c r="O24">
        <v>-1E-3</v>
      </c>
      <c r="P24">
        <f t="shared" ca="1" si="12"/>
        <v>1.15E-2</v>
      </c>
      <c r="Q24">
        <f t="shared" ca="1" si="13"/>
        <v>2</v>
      </c>
      <c r="R24" s="13">
        <f t="shared" ca="1" si="7"/>
        <v>5.444885939687083E-2</v>
      </c>
      <c r="S24" s="13">
        <f t="shared" ca="1" si="14"/>
        <v>20.07071857119081</v>
      </c>
    </row>
    <row r="25" spans="1:19" x14ac:dyDescent="0.55000000000000004">
      <c r="A25">
        <v>0</v>
      </c>
      <c r="B25">
        <v>0</v>
      </c>
      <c r="C25">
        <f t="shared" ca="1" si="8"/>
        <v>1.55E-2</v>
      </c>
      <c r="D25">
        <v>3</v>
      </c>
      <c r="E25" s="13">
        <f t="shared" ca="1" si="5"/>
        <v>-29.99076967156725</v>
      </c>
      <c r="G25">
        <v>1E-3</v>
      </c>
      <c r="H25">
        <v>1E-3</v>
      </c>
      <c r="I25">
        <f t="shared" ca="1" si="9"/>
        <v>1.55E-2</v>
      </c>
      <c r="J25">
        <f t="shared" ca="1" si="10"/>
        <v>3</v>
      </c>
      <c r="K25" s="13">
        <f t="shared" ca="1" si="6"/>
        <v>-59.940707899213521</v>
      </c>
      <c r="L25" s="13">
        <f t="shared" ca="1" si="11"/>
        <v>-29.949938227646271</v>
      </c>
      <c r="N25">
        <v>-1E-3</v>
      </c>
      <c r="O25">
        <v>-1E-3</v>
      </c>
      <c r="P25">
        <f t="shared" ca="1" si="12"/>
        <v>1.55E-2</v>
      </c>
      <c r="Q25">
        <f t="shared" ca="1" si="13"/>
        <v>3</v>
      </c>
      <c r="R25" s="13">
        <f t="shared" ca="1" si="7"/>
        <v>4.9221301509533077E-2</v>
      </c>
      <c r="S25" s="13">
        <f t="shared" ca="1" si="14"/>
        <v>30.039990973076783</v>
      </c>
    </row>
    <row r="26" spans="1:19" x14ac:dyDescent="0.55000000000000004">
      <c r="A26">
        <v>0</v>
      </c>
      <c r="B26">
        <v>0</v>
      </c>
      <c r="C26">
        <f t="shared" ca="1" si="8"/>
        <v>1.6250000000000001E-2</v>
      </c>
      <c r="D26">
        <v>5</v>
      </c>
      <c r="E26" s="13">
        <f t="shared" ca="1" si="5"/>
        <v>-49.816070030643459</v>
      </c>
      <c r="G26">
        <v>1E-3</v>
      </c>
      <c r="H26">
        <v>1E-3</v>
      </c>
      <c r="I26">
        <f t="shared" ca="1" si="9"/>
        <v>1.6250000000000001E-2</v>
      </c>
      <c r="J26">
        <f t="shared" ca="1" si="10"/>
        <v>5</v>
      </c>
      <c r="K26" s="13">
        <f t="shared" ca="1" si="6"/>
        <v>-99.548935399901893</v>
      </c>
      <c r="L26" s="13">
        <f t="shared" ca="1" si="11"/>
        <v>-49.732865369258434</v>
      </c>
      <c r="N26">
        <v>-1E-3</v>
      </c>
      <c r="O26">
        <v>-1E-3</v>
      </c>
      <c r="P26">
        <f t="shared" ca="1" si="12"/>
        <v>1.6250000000000001E-2</v>
      </c>
      <c r="Q26">
        <f t="shared" ca="1" si="13"/>
        <v>5</v>
      </c>
      <c r="R26" s="13">
        <f t="shared" ca="1" si="7"/>
        <v>0.16612197948779794</v>
      </c>
      <c r="S26" s="13">
        <f t="shared" ca="1" si="14"/>
        <v>49.982192010131257</v>
      </c>
    </row>
    <row r="27" spans="1:19" x14ac:dyDescent="0.55000000000000004">
      <c r="A27">
        <v>0</v>
      </c>
      <c r="B27">
        <v>0</v>
      </c>
      <c r="C27">
        <f t="shared" ca="1" si="8"/>
        <v>2.1499999999999998E-2</v>
      </c>
      <c r="D27">
        <v>7</v>
      </c>
      <c r="E27" s="13">
        <f t="shared" ca="1" si="5"/>
        <v>-69.103175313917745</v>
      </c>
      <c r="G27">
        <v>1E-3</v>
      </c>
      <c r="H27">
        <v>1E-3</v>
      </c>
      <c r="I27">
        <f t="shared" ca="1" si="9"/>
        <v>2.1499999999999998E-2</v>
      </c>
      <c r="J27">
        <f t="shared" ca="1" si="10"/>
        <v>7</v>
      </c>
      <c r="K27" s="13">
        <f t="shared" ca="1" si="6"/>
        <v>-137.28971377138441</v>
      </c>
      <c r="L27" s="13">
        <f t="shared" ca="1" si="11"/>
        <v>-68.186538457466668</v>
      </c>
      <c r="N27">
        <v>-1E-3</v>
      </c>
      <c r="O27">
        <v>-1E-3</v>
      </c>
      <c r="P27">
        <f t="shared" ca="1" si="12"/>
        <v>2.1499999999999998E-2</v>
      </c>
      <c r="Q27">
        <f t="shared" ca="1" si="13"/>
        <v>7</v>
      </c>
      <c r="R27" s="13">
        <f t="shared" ca="1" si="7"/>
        <v>-0.44085645979248511</v>
      </c>
      <c r="S27" s="13">
        <f t="shared" ca="1" si="14"/>
        <v>68.66231885412526</v>
      </c>
    </row>
    <row r="28" spans="1:19" x14ac:dyDescent="0.55000000000000004">
      <c r="A28">
        <v>0</v>
      </c>
      <c r="B28">
        <v>0</v>
      </c>
      <c r="C28">
        <f t="shared" ca="1" si="8"/>
        <v>3.15E-2</v>
      </c>
      <c r="D28">
        <v>10</v>
      </c>
      <c r="E28" s="13">
        <f t="shared" ca="1" si="5"/>
        <v>-96.790995432824275</v>
      </c>
      <c r="G28">
        <v>1E-3</v>
      </c>
      <c r="H28">
        <v>1E-3</v>
      </c>
      <c r="I28">
        <f t="shared" ca="1" si="9"/>
        <v>3.15E-2</v>
      </c>
      <c r="J28">
        <f t="shared" ca="1" si="10"/>
        <v>10</v>
      </c>
      <c r="K28" s="13">
        <f t="shared" ca="1" si="6"/>
        <v>-189.39133007589953</v>
      </c>
      <c r="L28" s="13">
        <f t="shared" ca="1" si="11"/>
        <v>-92.600334643075257</v>
      </c>
      <c r="N28">
        <v>-1E-3</v>
      </c>
      <c r="O28">
        <v>-1E-3</v>
      </c>
      <c r="P28">
        <f t="shared" ca="1" si="12"/>
        <v>3.15E-2</v>
      </c>
      <c r="Q28">
        <f t="shared" ca="1" si="13"/>
        <v>10</v>
      </c>
      <c r="R28" s="13">
        <f t="shared" ca="1" si="7"/>
        <v>-3.2767376831234287</v>
      </c>
      <c r="S28" s="13">
        <f t="shared" ca="1" si="14"/>
        <v>93.514257749700846</v>
      </c>
    </row>
    <row r="29" spans="1:19" x14ac:dyDescent="0.55000000000000004">
      <c r="A29">
        <v>0</v>
      </c>
      <c r="B29">
        <v>0</v>
      </c>
      <c r="C29">
        <f t="shared" ca="1" si="8"/>
        <v>3.9E-2</v>
      </c>
      <c r="D29">
        <v>20</v>
      </c>
      <c r="E29" s="13">
        <f t="shared" ca="1" si="5"/>
        <v>-178.06513962628742</v>
      </c>
      <c r="G29">
        <v>1E-3</v>
      </c>
      <c r="H29">
        <v>1E-3</v>
      </c>
      <c r="I29">
        <f t="shared" ca="1" si="9"/>
        <v>3.9E-2</v>
      </c>
      <c r="J29">
        <f t="shared" ca="1" si="10"/>
        <v>20</v>
      </c>
      <c r="K29" s="13">
        <f t="shared" ca="1" si="6"/>
        <v>-343.29498923784922</v>
      </c>
      <c r="L29" s="13">
        <f t="shared" ca="1" si="11"/>
        <v>-165.2298496115618</v>
      </c>
      <c r="N29">
        <v>-1E-3</v>
      </c>
      <c r="O29">
        <v>-1E-3</v>
      </c>
      <c r="P29">
        <f t="shared" ca="1" si="12"/>
        <v>3.9E-2</v>
      </c>
      <c r="Q29">
        <f t="shared" ca="1" si="13"/>
        <v>20</v>
      </c>
      <c r="R29" s="13">
        <f t="shared" ca="1" si="7"/>
        <v>-9.6513057730062428</v>
      </c>
      <c r="S29" s="13">
        <f t="shared" ca="1" si="14"/>
        <v>168.41383385328118</v>
      </c>
    </row>
    <row r="30" spans="1:19" x14ac:dyDescent="0.55000000000000004">
      <c r="A30">
        <v>0</v>
      </c>
      <c r="B30">
        <v>0</v>
      </c>
      <c r="C30">
        <f t="shared" ca="1" si="8"/>
        <v>4.3999999999999997E-2</v>
      </c>
      <c r="D30">
        <v>30</v>
      </c>
      <c r="E30" s="13">
        <f t="shared" ca="1" si="5"/>
        <v>-239.11757917421164</v>
      </c>
      <c r="G30">
        <v>1E-3</v>
      </c>
      <c r="H30">
        <v>1E-3</v>
      </c>
      <c r="I30">
        <f t="shared" ca="1" si="9"/>
        <v>4.3999999999999997E-2</v>
      </c>
      <c r="J30">
        <f t="shared" ca="1" si="10"/>
        <v>30</v>
      </c>
      <c r="K30" s="13">
        <f t="shared" ca="1" si="6"/>
        <v>-450.1770319195748</v>
      </c>
      <c r="L30" s="13">
        <f t="shared" ca="1" si="11"/>
        <v>-211.05945274536316</v>
      </c>
      <c r="N30">
        <v>-1E-3</v>
      </c>
      <c r="O30">
        <v>-1E-3</v>
      </c>
      <c r="P30">
        <f t="shared" ca="1" si="12"/>
        <v>4.3999999999999997E-2</v>
      </c>
      <c r="Q30">
        <f t="shared" ca="1" si="13"/>
        <v>30</v>
      </c>
      <c r="R30" s="13">
        <f t="shared" ca="1" si="7"/>
        <v>-22.286070329890208</v>
      </c>
      <c r="S30" s="13">
        <f t="shared" ca="1" si="14"/>
        <v>216.83150884432143</v>
      </c>
    </row>
    <row r="32" spans="1:19" x14ac:dyDescent="0.55000000000000004">
      <c r="A32" s="11" t="s">
        <v>17</v>
      </c>
      <c r="B32" s="11"/>
      <c r="C32" s="11"/>
      <c r="D32" s="12"/>
    </row>
    <row r="33" spans="1:19" x14ac:dyDescent="0.55000000000000004">
      <c r="G33" s="14" t="s">
        <v>14</v>
      </c>
      <c r="H33" s="14"/>
      <c r="I33" s="14"/>
      <c r="J33" s="14"/>
      <c r="K33" s="14"/>
      <c r="L33" s="5"/>
      <c r="N33" s="14" t="s">
        <v>15</v>
      </c>
      <c r="O33" s="14"/>
      <c r="P33" s="14"/>
      <c r="Q33" s="14"/>
      <c r="R33" s="14"/>
    </row>
    <row r="34" spans="1:19" x14ac:dyDescent="0.55000000000000004">
      <c r="A34" t="s">
        <v>7</v>
      </c>
      <c r="B34" t="s">
        <v>8</v>
      </c>
      <c r="C34" t="s">
        <v>9</v>
      </c>
      <c r="D34" t="s">
        <v>10</v>
      </c>
      <c r="E34" s="4" t="s">
        <v>11</v>
      </c>
      <c r="G34" t="s">
        <v>7</v>
      </c>
      <c r="H34" t="s">
        <v>8</v>
      </c>
      <c r="I34" t="s">
        <v>9</v>
      </c>
      <c r="J34" t="s">
        <v>10</v>
      </c>
      <c r="K34" s="4" t="s">
        <v>11</v>
      </c>
      <c r="L34" s="4" t="s">
        <v>18</v>
      </c>
      <c r="N34" t="s">
        <v>7</v>
      </c>
      <c r="O34" t="s">
        <v>8</v>
      </c>
      <c r="P34" t="s">
        <v>9</v>
      </c>
      <c r="Q34" t="s">
        <v>10</v>
      </c>
      <c r="R34" s="4" t="s">
        <v>11</v>
      </c>
      <c r="S34" s="4" t="s">
        <v>18</v>
      </c>
    </row>
    <row r="35" spans="1:19" x14ac:dyDescent="0.55000000000000004">
      <c r="A35">
        <v>0</v>
      </c>
      <c r="B35">
        <v>0</v>
      </c>
      <c r="C35">
        <f ca="1">C9+0.001</f>
        <v>6.4999999999999997E-3</v>
      </c>
      <c r="D35">
        <v>0.5</v>
      </c>
      <c r="E35" s="13">
        <f t="shared" ref="E35:E43" ca="1" si="15">GetReceiverSwapNPV(ois_zero_rates, euribor_zero_rates, A35,B35,C35,D35)</f>
        <v>5.0062577706448792</v>
      </c>
      <c r="G35">
        <v>1E-3</v>
      </c>
      <c r="H35">
        <v>1E-3</v>
      </c>
      <c r="I35">
        <f ca="1">C35</f>
        <v>6.4999999999999997E-3</v>
      </c>
      <c r="J35">
        <f ca="1">D35</f>
        <v>0.5</v>
      </c>
      <c r="K35" s="13">
        <f t="shared" ref="K35:K43" ca="1" si="16">GetReceiverSwapNPV(ois_zero_rates, euribor_zero_rates, G35,H35,I35,J35)</f>
        <v>-1.5014966753369663E-2</v>
      </c>
      <c r="L35" s="13">
        <f ca="1">K35-E35</f>
        <v>-5.0212727373982489</v>
      </c>
      <c r="N35">
        <v>-1E-3</v>
      </c>
      <c r="O35">
        <v>-1E-3</v>
      </c>
      <c r="P35">
        <f ca="1">C35</f>
        <v>6.4999999999999997E-3</v>
      </c>
      <c r="Q35">
        <f ca="1">D35</f>
        <v>0.5</v>
      </c>
      <c r="R35" s="13">
        <f t="shared" ref="R35:R43" ca="1" si="17">GetReceiverSwapNPV(ois_zero_rates, euribor_zero_rates, N35,O35,P35,Q35)</f>
        <v>10.030041772173718</v>
      </c>
      <c r="S35" s="13">
        <f ca="1">R35-E35</f>
        <v>5.0237840015288384</v>
      </c>
    </row>
    <row r="36" spans="1:19" x14ac:dyDescent="0.55000000000000004">
      <c r="A36">
        <v>0</v>
      </c>
      <c r="B36">
        <v>0</v>
      </c>
      <c r="C36">
        <f t="shared" ref="C36:C43" ca="1" si="18">C10+0.001</f>
        <v>8.0000000000000002E-3</v>
      </c>
      <c r="D36">
        <v>1</v>
      </c>
      <c r="E36" s="13">
        <f t="shared" ca="1" si="15"/>
        <v>10.012515644482846</v>
      </c>
      <c r="G36">
        <v>1E-3</v>
      </c>
      <c r="H36">
        <v>1E-3</v>
      </c>
      <c r="I36">
        <f t="shared" ref="I36:I43" ca="1" si="19">C36</f>
        <v>8.0000000000000002E-3</v>
      </c>
      <c r="J36">
        <f t="shared" ref="J36:J43" ca="1" si="20">D36</f>
        <v>1</v>
      </c>
      <c r="K36" s="13">
        <f t="shared" ca="1" si="16"/>
        <v>-3.3774203140637837E-2</v>
      </c>
      <c r="L36" s="13">
        <f t="shared" ref="L36:L43" ca="1" si="21">K36-E36</f>
        <v>-10.046289847623484</v>
      </c>
      <c r="N36">
        <v>-1E-3</v>
      </c>
      <c r="O36">
        <v>-1E-3</v>
      </c>
      <c r="P36">
        <f t="shared" ref="P36:P43" ca="1" si="22">C36</f>
        <v>8.0000000000000002E-3</v>
      </c>
      <c r="Q36">
        <f t="shared" ref="Q36:Q43" ca="1" si="23">D36</f>
        <v>1</v>
      </c>
      <c r="R36" s="13">
        <f t="shared" ca="1" si="17"/>
        <v>20.068857432863297</v>
      </c>
      <c r="S36" s="13">
        <f t="shared" ref="S36:S43" ca="1" si="24">R36-E36</f>
        <v>10.05634178838045</v>
      </c>
    </row>
    <row r="37" spans="1:19" x14ac:dyDescent="0.55000000000000004">
      <c r="A37">
        <v>0</v>
      </c>
      <c r="B37">
        <v>0</v>
      </c>
      <c r="C37">
        <f t="shared" ca="1" si="18"/>
        <v>1.3500000000000002E-2</v>
      </c>
      <c r="D37">
        <v>2</v>
      </c>
      <c r="E37" s="13">
        <f t="shared" ca="1" si="15"/>
        <v>20.016269711861241</v>
      </c>
      <c r="G37">
        <v>1E-3</v>
      </c>
      <c r="H37">
        <v>1E-3</v>
      </c>
      <c r="I37">
        <f t="shared" ca="1" si="19"/>
        <v>1.3500000000000002E-2</v>
      </c>
      <c r="J37">
        <f t="shared" ca="1" si="20"/>
        <v>2</v>
      </c>
      <c r="K37" s="13">
        <f t="shared" ca="1" si="16"/>
        <v>-6.4308580529541359E-2</v>
      </c>
      <c r="L37" s="13">
        <f t="shared" ca="1" si="21"/>
        <v>-20.080578292390783</v>
      </c>
      <c r="N37">
        <v>-1E-3</v>
      </c>
      <c r="O37">
        <v>-1E-3</v>
      </c>
      <c r="P37">
        <f t="shared" ca="1" si="22"/>
        <v>1.3500000000000002E-2</v>
      </c>
      <c r="Q37">
        <f t="shared" ca="1" si="23"/>
        <v>2</v>
      </c>
      <c r="R37" s="13">
        <f t="shared" ca="1" si="17"/>
        <v>40.137055855839208</v>
      </c>
      <c r="S37" s="13">
        <f t="shared" ca="1" si="24"/>
        <v>20.120786143977966</v>
      </c>
    </row>
    <row r="38" spans="1:19" x14ac:dyDescent="0.55000000000000004">
      <c r="A38">
        <v>0</v>
      </c>
      <c r="B38">
        <v>0</v>
      </c>
      <c r="C38">
        <f t="shared" ca="1" si="18"/>
        <v>1.7500000000000002E-2</v>
      </c>
      <c r="D38">
        <v>3</v>
      </c>
      <c r="E38" s="13">
        <f t="shared" ca="1" si="15"/>
        <v>29.99076967336805</v>
      </c>
      <c r="G38">
        <v>1E-3</v>
      </c>
      <c r="H38">
        <v>1E-3</v>
      </c>
      <c r="I38">
        <f t="shared" ca="1" si="19"/>
        <v>1.7500000000000002E-2</v>
      </c>
      <c r="J38">
        <f t="shared" ca="1" si="20"/>
        <v>3</v>
      </c>
      <c r="K38" s="13">
        <f t="shared" ca="1" si="16"/>
        <v>-6.3939629500964656E-2</v>
      </c>
      <c r="L38" s="13">
        <f t="shared" ca="1" si="21"/>
        <v>-30.054709302869014</v>
      </c>
      <c r="N38">
        <v>-1E-3</v>
      </c>
      <c r="O38">
        <v>-1E-3</v>
      </c>
      <c r="P38">
        <f t="shared" ca="1" si="22"/>
        <v>1.7500000000000002E-2</v>
      </c>
      <c r="Q38">
        <f t="shared" ca="1" si="23"/>
        <v>3</v>
      </c>
      <c r="R38" s="13">
        <f t="shared" ca="1" si="17"/>
        <v>60.13575883660269</v>
      </c>
      <c r="S38" s="13">
        <f t="shared" ca="1" si="24"/>
        <v>30.144989163234641</v>
      </c>
    </row>
    <row r="39" spans="1:19" x14ac:dyDescent="0.55000000000000004">
      <c r="A39">
        <v>0</v>
      </c>
      <c r="B39">
        <v>0</v>
      </c>
      <c r="C39">
        <f t="shared" ca="1" si="18"/>
        <v>1.8250000000000002E-2</v>
      </c>
      <c r="D39">
        <v>5</v>
      </c>
      <c r="E39" s="13">
        <f t="shared" ca="1" si="15"/>
        <v>49.816070031625713</v>
      </c>
      <c r="G39">
        <v>1E-3</v>
      </c>
      <c r="H39">
        <v>1E-3</v>
      </c>
      <c r="I39">
        <f t="shared" ca="1" si="19"/>
        <v>1.8250000000000002E-2</v>
      </c>
      <c r="J39">
        <f t="shared" ca="1" si="20"/>
        <v>5</v>
      </c>
      <c r="K39" s="13">
        <f t="shared" ca="1" si="16"/>
        <v>-0.18965862253935484</v>
      </c>
      <c r="L39" s="13">
        <f t="shared" ca="1" si="21"/>
        <v>-50.005728654165068</v>
      </c>
      <c r="N39">
        <v>-1E-3</v>
      </c>
      <c r="O39">
        <v>-1E-3</v>
      </c>
      <c r="P39">
        <f t="shared" ca="1" si="22"/>
        <v>1.8250000000000002E-2</v>
      </c>
      <c r="Q39">
        <f t="shared" ca="1" si="23"/>
        <v>5</v>
      </c>
      <c r="R39" s="13">
        <f t="shared" ca="1" si="17"/>
        <v>100.07208051660928</v>
      </c>
      <c r="S39" s="13">
        <f t="shared" ca="1" si="24"/>
        <v>50.256010484983562</v>
      </c>
    </row>
    <row r="40" spans="1:19" x14ac:dyDescent="0.55000000000000004">
      <c r="A40">
        <v>0</v>
      </c>
      <c r="B40">
        <v>0</v>
      </c>
      <c r="C40">
        <f t="shared" ca="1" si="18"/>
        <v>2.35E-2</v>
      </c>
      <c r="D40">
        <v>7</v>
      </c>
      <c r="E40" s="13">
        <f t="shared" ca="1" si="15"/>
        <v>69.103175325089978</v>
      </c>
      <c r="G40">
        <v>1E-3</v>
      </c>
      <c r="H40">
        <v>1E-3</v>
      </c>
      <c r="I40">
        <f t="shared" ca="1" si="19"/>
        <v>2.35E-2</v>
      </c>
      <c r="J40">
        <f t="shared" ca="1" si="20"/>
        <v>7</v>
      </c>
      <c r="K40" s="13">
        <f t="shared" ca="1" si="16"/>
        <v>0.40370140930644993</v>
      </c>
      <c r="L40" s="13">
        <f t="shared" ca="1" si="21"/>
        <v>-68.699473915783528</v>
      </c>
      <c r="N40">
        <v>-1E-3</v>
      </c>
      <c r="O40">
        <v>-1E-3</v>
      </c>
      <c r="P40">
        <f t="shared" ca="1" si="22"/>
        <v>2.35E-2</v>
      </c>
      <c r="Q40">
        <f t="shared" ca="1" si="23"/>
        <v>7</v>
      </c>
      <c r="R40" s="13">
        <f t="shared" ca="1" si="17"/>
        <v>138.28090043101656</v>
      </c>
      <c r="S40" s="13">
        <f t="shared" ca="1" si="24"/>
        <v>69.177725105926584</v>
      </c>
    </row>
    <row r="41" spans="1:19" x14ac:dyDescent="0.55000000000000004">
      <c r="A41">
        <v>0</v>
      </c>
      <c r="B41">
        <v>0</v>
      </c>
      <c r="C41">
        <f t="shared" ca="1" si="18"/>
        <v>3.3500000000000002E-2</v>
      </c>
      <c r="D41">
        <v>10</v>
      </c>
      <c r="E41" s="13">
        <f t="shared" ca="1" si="15"/>
        <v>96.790995436254889</v>
      </c>
      <c r="G41">
        <v>1E-3</v>
      </c>
      <c r="H41">
        <v>1E-3</v>
      </c>
      <c r="I41">
        <f t="shared" ca="1" si="19"/>
        <v>3.3500000000000002E-2</v>
      </c>
      <c r="J41">
        <f t="shared" ca="1" si="20"/>
        <v>10</v>
      </c>
      <c r="K41" s="13">
        <f t="shared" ca="1" si="16"/>
        <v>3.1959872228107997</v>
      </c>
      <c r="L41" s="13">
        <f t="shared" ca="1" si="21"/>
        <v>-93.595008213444089</v>
      </c>
      <c r="N41">
        <v>-1E-3</v>
      </c>
      <c r="O41">
        <v>-1E-3</v>
      </c>
      <c r="P41">
        <f t="shared" ca="1" si="22"/>
        <v>3.3500000000000002E-2</v>
      </c>
      <c r="Q41">
        <f t="shared" ca="1" si="23"/>
        <v>10</v>
      </c>
      <c r="R41" s="13">
        <f t="shared" ca="1" si="17"/>
        <v>191.30666589751127</v>
      </c>
      <c r="S41" s="13">
        <f t="shared" ca="1" si="24"/>
        <v>94.515670461256377</v>
      </c>
    </row>
    <row r="42" spans="1:19" x14ac:dyDescent="0.55000000000000004">
      <c r="A42">
        <v>0</v>
      </c>
      <c r="B42">
        <v>0</v>
      </c>
      <c r="C42">
        <f t="shared" ca="1" si="18"/>
        <v>4.1000000000000002E-2</v>
      </c>
      <c r="D42">
        <v>20</v>
      </c>
      <c r="E42" s="13">
        <f t="shared" ca="1" si="15"/>
        <v>178.06513962629651</v>
      </c>
      <c r="G42">
        <v>1E-3</v>
      </c>
      <c r="H42">
        <v>1E-3</v>
      </c>
      <c r="I42">
        <f t="shared" ca="1" si="19"/>
        <v>4.1000000000000002E-2</v>
      </c>
      <c r="J42">
        <f t="shared" ca="1" si="20"/>
        <v>20</v>
      </c>
      <c r="K42" s="13">
        <f t="shared" ca="1" si="16"/>
        <v>9.4113692083774367</v>
      </c>
      <c r="L42" s="13">
        <f t="shared" ca="1" si="21"/>
        <v>-168.65377041791908</v>
      </c>
      <c r="N42">
        <v>-1E-3</v>
      </c>
      <c r="O42">
        <v>-1E-3</v>
      </c>
      <c r="P42">
        <f t="shared" ca="1" si="22"/>
        <v>4.1000000000000002E-2</v>
      </c>
      <c r="Q42">
        <f t="shared" ca="1" si="23"/>
        <v>20</v>
      </c>
      <c r="R42" s="13">
        <f t="shared" ca="1" si="17"/>
        <v>349.94785139224405</v>
      </c>
      <c r="S42" s="13">
        <f t="shared" ca="1" si="24"/>
        <v>171.88271176594753</v>
      </c>
    </row>
    <row r="43" spans="1:19" x14ac:dyDescent="0.55000000000000004">
      <c r="A43">
        <v>0</v>
      </c>
      <c r="B43">
        <v>0</v>
      </c>
      <c r="C43">
        <f t="shared" ca="1" si="18"/>
        <v>4.5999999999999999E-2</v>
      </c>
      <c r="D43">
        <v>30</v>
      </c>
      <c r="E43" s="13">
        <f t="shared" ca="1" si="15"/>
        <v>239.11757917420437</v>
      </c>
      <c r="G43">
        <v>1E-3</v>
      </c>
      <c r="H43">
        <v>1E-3</v>
      </c>
      <c r="I43">
        <f t="shared" ca="1" si="19"/>
        <v>4.5999999999999999E-2</v>
      </c>
      <c r="J43">
        <f t="shared" ca="1" si="20"/>
        <v>30</v>
      </c>
      <c r="K43" s="13">
        <f t="shared" ca="1" si="16"/>
        <v>21.624621202510752</v>
      </c>
      <c r="L43" s="13">
        <f t="shared" ca="1" si="21"/>
        <v>-217.49295797169361</v>
      </c>
      <c r="N43">
        <v>-1E-3</v>
      </c>
      <c r="O43">
        <v>-1E-3</v>
      </c>
      <c r="P43">
        <f t="shared" ca="1" si="22"/>
        <v>4.5999999999999999E-2</v>
      </c>
      <c r="Q43">
        <f t="shared" ca="1" si="23"/>
        <v>30</v>
      </c>
      <c r="R43" s="13">
        <f t="shared" ca="1" si="17"/>
        <v>462.50463385882176</v>
      </c>
      <c r="S43" s="13">
        <f t="shared" ca="1" si="24"/>
        <v>223.3870546846174</v>
      </c>
    </row>
    <row r="45" spans="1:19" ht="14.7" thickBot="1" x14ac:dyDescent="0.6">
      <c r="A45" s="6" t="s">
        <v>19</v>
      </c>
      <c r="B45" s="6"/>
    </row>
    <row r="46" spans="1:19" x14ac:dyDescent="0.55000000000000004">
      <c r="A46" s="4" t="s">
        <v>33</v>
      </c>
    </row>
    <row r="47" spans="1:19" x14ac:dyDescent="0.55000000000000004">
      <c r="A47" s="4" t="s">
        <v>34</v>
      </c>
    </row>
    <row r="48" spans="1:19" x14ac:dyDescent="0.55000000000000004">
      <c r="A48" s="4" t="s">
        <v>20</v>
      </c>
    </row>
    <row r="49" spans="1:1" x14ac:dyDescent="0.55000000000000004">
      <c r="A49" s="4"/>
    </row>
  </sheetData>
  <mergeCells count="6">
    <mergeCell ref="G7:K7"/>
    <mergeCell ref="N7:R7"/>
    <mergeCell ref="G20:K20"/>
    <mergeCell ref="N20:R20"/>
    <mergeCell ref="G33:K33"/>
    <mergeCell ref="N33:R3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47"/>
  <sheetViews>
    <sheetView workbookViewId="0">
      <selection activeCell="H48" sqref="H48"/>
    </sheetView>
  </sheetViews>
  <sheetFormatPr defaultRowHeight="14.4" x14ac:dyDescent="0.55000000000000004"/>
  <cols>
    <col min="2" max="2" width="12" bestFit="1" customWidth="1"/>
    <col min="3" max="3" width="14.3125" bestFit="1" customWidth="1"/>
    <col min="5" max="5" width="19.89453125" bestFit="1" customWidth="1"/>
    <col min="8" max="8" width="12" bestFit="1" customWidth="1"/>
    <col min="9" max="9" width="14.3125" bestFit="1" customWidth="1"/>
    <col min="10" max="10" width="8" bestFit="1" customWidth="1"/>
    <col min="11" max="11" width="20.5234375" bestFit="1" customWidth="1"/>
    <col min="12" max="12" width="20.5234375" customWidth="1"/>
    <col min="15" max="15" width="12" bestFit="1" customWidth="1"/>
    <col min="16" max="16" width="14.3125" bestFit="1" customWidth="1"/>
    <col min="17" max="17" width="8" bestFit="1" customWidth="1"/>
    <col min="18" max="18" width="20.5234375" bestFit="1" customWidth="1"/>
    <col min="19" max="19" width="17.68359375" bestFit="1" customWidth="1"/>
  </cols>
  <sheetData>
    <row r="1" spans="1:19" ht="15" customHeight="1" x14ac:dyDescent="0.55000000000000004"/>
    <row r="2" spans="1:19" s="3" customFormat="1" x14ac:dyDescent="0.55000000000000004">
      <c r="A2" s="3" t="s">
        <v>21</v>
      </c>
    </row>
    <row r="3" spans="1:19" ht="15" customHeight="1" x14ac:dyDescent="0.55000000000000004"/>
    <row r="4" spans="1:19" x14ac:dyDescent="0.55000000000000004">
      <c r="A4" s="11" t="s">
        <v>13</v>
      </c>
      <c r="B4" s="12"/>
      <c r="C4" s="12"/>
    </row>
    <row r="5" spans="1:19" x14ac:dyDescent="0.55000000000000004">
      <c r="G5" s="14" t="s">
        <v>22</v>
      </c>
      <c r="H5" s="14"/>
      <c r="I5" s="14"/>
      <c r="J5" s="14"/>
      <c r="K5" s="14"/>
      <c r="L5" s="5"/>
      <c r="N5" s="14" t="s">
        <v>23</v>
      </c>
      <c r="O5" s="14"/>
      <c r="P5" s="14"/>
      <c r="Q5" s="14"/>
      <c r="R5" s="14"/>
    </row>
    <row r="6" spans="1:19" x14ac:dyDescent="0.55000000000000004">
      <c r="A6" t="s">
        <v>7</v>
      </c>
      <c r="B6" t="s">
        <v>8</v>
      </c>
      <c r="C6" t="s">
        <v>9</v>
      </c>
      <c r="D6" t="s">
        <v>10</v>
      </c>
      <c r="E6" s="4" t="s">
        <v>11</v>
      </c>
      <c r="G6" t="s">
        <v>7</v>
      </c>
      <c r="H6" t="s">
        <v>8</v>
      </c>
      <c r="I6" t="s">
        <v>9</v>
      </c>
      <c r="J6" t="s">
        <v>10</v>
      </c>
      <c r="K6" s="4" t="s">
        <v>11</v>
      </c>
      <c r="L6" s="4" t="s">
        <v>18</v>
      </c>
      <c r="N6" t="s">
        <v>7</v>
      </c>
      <c r="O6" t="s">
        <v>8</v>
      </c>
      <c r="P6" t="s">
        <v>9</v>
      </c>
      <c r="Q6" t="s">
        <v>10</v>
      </c>
      <c r="R6" s="4" t="s">
        <v>11</v>
      </c>
      <c r="S6" s="4" t="s">
        <v>18</v>
      </c>
    </row>
    <row r="7" spans="1:19" x14ac:dyDescent="0.55000000000000004">
      <c r="A7">
        <v>0</v>
      </c>
      <c r="B7">
        <v>0</v>
      </c>
      <c r="C7">
        <v>5.4999999999999997E-3</v>
      </c>
      <c r="D7">
        <v>0.5</v>
      </c>
      <c r="E7" s="13">
        <f t="shared" ref="E7:E15" ca="1" si="0">GetReceiverSwapNPV(ois_zero_rates, euribor_zero_rates, A7,B7,C7,D7)</f>
        <v>-5.1624738262034953E-8</v>
      </c>
      <c r="G7">
        <v>1E-3</v>
      </c>
      <c r="H7">
        <v>0</v>
      </c>
      <c r="I7">
        <v>5.4999999999999997E-3</v>
      </c>
      <c r="J7">
        <v>0.5</v>
      </c>
      <c r="K7" s="13">
        <f t="shared" ref="K7:K15" ca="1" si="1">GetReceiverSwapNPV(ois_zero_rates, euribor_zero_rates, G7,H7,I7,J7)</f>
        <v>-5.1599272410385311E-8</v>
      </c>
      <c r="L7" s="13">
        <f ca="1">K7-E7</f>
        <v>2.5465851649641991E-11</v>
      </c>
      <c r="N7">
        <v>0</v>
      </c>
      <c r="O7">
        <v>-1E-3</v>
      </c>
      <c r="P7">
        <v>5.4999999999999997E-3</v>
      </c>
      <c r="Q7">
        <v>0.5</v>
      </c>
      <c r="R7" s="13">
        <f t="shared" ref="R7:R15" ca="1" si="2">GetReceiverSwapNPV(ois_zero_rates, euribor_zero_rates, N7,O7,P7,Q7)</f>
        <v>5.0187701825652766</v>
      </c>
      <c r="S7" s="13">
        <f ca="1">R7-E7</f>
        <v>5.0187702341900149</v>
      </c>
    </row>
    <row r="8" spans="1:19" x14ac:dyDescent="0.55000000000000004">
      <c r="A8">
        <v>0</v>
      </c>
      <c r="B8">
        <v>0</v>
      </c>
      <c r="C8">
        <v>7.0000000000000001E-3</v>
      </c>
      <c r="D8">
        <v>1</v>
      </c>
      <c r="E8" s="13">
        <f t="shared" ca="1" si="0"/>
        <v>3.637978807091713E-12</v>
      </c>
      <c r="G8">
        <v>1E-3</v>
      </c>
      <c r="H8">
        <v>0</v>
      </c>
      <c r="I8">
        <v>7.0000000000000001E-3</v>
      </c>
      <c r="J8">
        <v>1</v>
      </c>
      <c r="K8" s="13">
        <f t="shared" ca="1" si="1"/>
        <v>3.7518784192798194E-3</v>
      </c>
      <c r="L8" s="13">
        <f t="shared" ref="L8:L15" ca="1" si="3">K8-E8</f>
        <v>3.7518784156418405E-3</v>
      </c>
      <c r="N8">
        <v>0</v>
      </c>
      <c r="O8">
        <v>-1E-3</v>
      </c>
      <c r="P8">
        <v>7.0000000000000001E-3</v>
      </c>
      <c r="Q8">
        <v>1</v>
      </c>
      <c r="R8" s="13">
        <f t="shared" ca="1" si="2"/>
        <v>10.045047977970171</v>
      </c>
      <c r="S8" s="13">
        <f t="shared" ref="S8:S15" ca="1" si="4">R8-E8</f>
        <v>10.045047977966533</v>
      </c>
    </row>
    <row r="9" spans="1:19" x14ac:dyDescent="0.55000000000000004">
      <c r="A9">
        <v>0</v>
      </c>
      <c r="B9">
        <v>0</v>
      </c>
      <c r="C9">
        <v>1.2500000000000001E-2</v>
      </c>
      <c r="D9">
        <v>2</v>
      </c>
      <c r="E9" s="13">
        <f t="shared" ca="1" si="0"/>
        <v>3.2741809263825417E-11</v>
      </c>
      <c r="G9">
        <v>1E-3</v>
      </c>
      <c r="H9">
        <v>0</v>
      </c>
      <c r="I9">
        <v>1.2500000000000001E-2</v>
      </c>
      <c r="J9">
        <v>2</v>
      </c>
      <c r="K9" s="13">
        <f t="shared" ca="1" si="1"/>
        <v>6.5633946307571023E-2</v>
      </c>
      <c r="L9" s="13">
        <f t="shared" ca="1" si="3"/>
        <v>6.5633946274829214E-2</v>
      </c>
      <c r="N9">
        <v>0</v>
      </c>
      <c r="O9">
        <v>-1E-3</v>
      </c>
      <c r="P9">
        <v>1.2500000000000001E-2</v>
      </c>
      <c r="Q9">
        <v>2</v>
      </c>
      <c r="R9" s="13">
        <f t="shared" ca="1" si="2"/>
        <v>20.136336893829139</v>
      </c>
      <c r="S9" s="13">
        <f t="shared" ca="1" si="4"/>
        <v>20.136336893796397</v>
      </c>
    </row>
    <row r="10" spans="1:19" x14ac:dyDescent="0.55000000000000004">
      <c r="A10">
        <v>0</v>
      </c>
      <c r="B10">
        <v>0</v>
      </c>
      <c r="C10">
        <v>1.6500000000000001E-2</v>
      </c>
      <c r="D10">
        <v>3</v>
      </c>
      <c r="E10" s="13">
        <f t="shared" ca="1" si="0"/>
        <v>9.0039975475519896E-10</v>
      </c>
      <c r="G10">
        <v>1E-3</v>
      </c>
      <c r="H10">
        <v>0</v>
      </c>
      <c r="I10">
        <v>1.6500000000000001E-2</v>
      </c>
      <c r="J10">
        <v>3</v>
      </c>
      <c r="K10" s="13">
        <f t="shared" ca="1" si="1"/>
        <v>0.19050436544421245</v>
      </c>
      <c r="L10" s="13">
        <f t="shared" ca="1" si="3"/>
        <v>0.1905043645438127</v>
      </c>
      <c r="N10">
        <v>0</v>
      </c>
      <c r="O10">
        <v>-1E-3</v>
      </c>
      <c r="P10">
        <v>1.6500000000000001E-2</v>
      </c>
      <c r="Q10">
        <v>3</v>
      </c>
      <c r="R10" s="13">
        <f t="shared" ca="1" si="2"/>
        <v>30.230635234549482</v>
      </c>
      <c r="S10" s="13">
        <f t="shared" ca="1" si="4"/>
        <v>30.230635233649082</v>
      </c>
    </row>
    <row r="11" spans="1:19" x14ac:dyDescent="0.55000000000000004">
      <c r="A11">
        <v>0</v>
      </c>
      <c r="B11">
        <v>0</v>
      </c>
      <c r="C11">
        <v>1.7250000000000001E-2</v>
      </c>
      <c r="D11">
        <v>5</v>
      </c>
      <c r="E11" s="13">
        <f t="shared" ca="1" si="0"/>
        <v>4.9112713895738125E-10</v>
      </c>
      <c r="G11">
        <v>1E-3</v>
      </c>
      <c r="H11">
        <v>0</v>
      </c>
      <c r="I11">
        <v>1.7250000000000001E-2</v>
      </c>
      <c r="J11">
        <v>5</v>
      </c>
      <c r="K11" s="13">
        <f t="shared" ca="1" si="1"/>
        <v>0.25123173070642224</v>
      </c>
      <c r="L11" s="13">
        <f t="shared" ca="1" si="3"/>
        <v>0.2512317302152951</v>
      </c>
      <c r="N11">
        <v>0</v>
      </c>
      <c r="O11">
        <v>-1E-3</v>
      </c>
      <c r="P11">
        <v>1.7250000000000001E-2</v>
      </c>
      <c r="Q11">
        <v>5</v>
      </c>
      <c r="R11" s="13">
        <f t="shared" ca="1" si="2"/>
        <v>50.233174295542995</v>
      </c>
      <c r="S11" s="13">
        <f t="shared" ca="1" si="4"/>
        <v>50.233174295051867</v>
      </c>
    </row>
    <row r="12" spans="1:19" x14ac:dyDescent="0.55000000000000004">
      <c r="A12">
        <v>0</v>
      </c>
      <c r="B12">
        <v>0</v>
      </c>
      <c r="C12">
        <v>2.2499999999999999E-2</v>
      </c>
      <c r="D12">
        <v>7</v>
      </c>
      <c r="E12" s="13">
        <f t="shared" ca="1" si="0"/>
        <v>5.5842974688857794E-9</v>
      </c>
      <c r="G12">
        <v>1E-3</v>
      </c>
      <c r="H12">
        <v>0</v>
      </c>
      <c r="I12">
        <v>2.2499999999999999E-2</v>
      </c>
      <c r="J12">
        <v>7</v>
      </c>
      <c r="K12" s="13">
        <f t="shared" ca="1" si="1"/>
        <v>1.195037411102021</v>
      </c>
      <c r="L12" s="13">
        <f t="shared" ca="1" si="3"/>
        <v>1.1950374055177235</v>
      </c>
      <c r="N12">
        <v>0</v>
      </c>
      <c r="O12">
        <v>-1E-3</v>
      </c>
      <c r="P12">
        <v>2.2499999999999999E-2</v>
      </c>
      <c r="Q12">
        <v>7</v>
      </c>
      <c r="R12" s="13">
        <f t="shared" ca="1" si="2"/>
        <v>69.863118812239918</v>
      </c>
      <c r="S12" s="13">
        <f t="shared" ca="1" si="4"/>
        <v>69.863118806655621</v>
      </c>
    </row>
    <row r="13" spans="1:19" x14ac:dyDescent="0.55000000000000004">
      <c r="A13">
        <v>0</v>
      </c>
      <c r="B13">
        <v>0</v>
      </c>
      <c r="C13">
        <v>3.2500000000000001E-2</v>
      </c>
      <c r="D13">
        <v>10</v>
      </c>
      <c r="E13" s="13">
        <f t="shared" ca="1" si="0"/>
        <v>1.7153070075437427E-9</v>
      </c>
      <c r="G13">
        <v>1E-3</v>
      </c>
      <c r="H13">
        <v>0</v>
      </c>
      <c r="I13">
        <v>3.2500000000000001E-2</v>
      </c>
      <c r="J13">
        <v>10</v>
      </c>
      <c r="K13" s="13">
        <f t="shared" ca="1" si="1"/>
        <v>4.7828358455808484</v>
      </c>
      <c r="L13" s="13">
        <f t="shared" ca="1" si="3"/>
        <v>4.7828358438655414</v>
      </c>
      <c r="N13">
        <v>0</v>
      </c>
      <c r="O13">
        <v>-1E-3</v>
      </c>
      <c r="P13">
        <v>3.2500000000000001E-2</v>
      </c>
      <c r="Q13">
        <v>10</v>
      </c>
      <c r="R13" s="13">
        <f t="shared" ca="1" si="2"/>
        <v>98.339262247765873</v>
      </c>
      <c r="S13" s="13">
        <f t="shared" ca="1" si="4"/>
        <v>98.339262246050566</v>
      </c>
    </row>
    <row r="14" spans="1:19" x14ac:dyDescent="0.55000000000000004">
      <c r="A14">
        <v>0</v>
      </c>
      <c r="B14">
        <v>0</v>
      </c>
      <c r="C14">
        <v>0.04</v>
      </c>
      <c r="D14">
        <v>20</v>
      </c>
      <c r="E14" s="13">
        <f t="shared" ca="1" si="0"/>
        <v>7.2759576141834259E-12</v>
      </c>
      <c r="G14">
        <v>1E-3</v>
      </c>
      <c r="H14">
        <v>0</v>
      </c>
      <c r="I14">
        <v>0.04</v>
      </c>
      <c r="J14">
        <v>20</v>
      </c>
      <c r="K14" s="13">
        <f t="shared" ca="1" si="1"/>
        <v>12.976920266968591</v>
      </c>
      <c r="L14" s="13">
        <f t="shared" ca="1" si="3"/>
        <v>12.976920266961315</v>
      </c>
      <c r="N14">
        <v>0</v>
      </c>
      <c r="O14">
        <v>-1E-3</v>
      </c>
      <c r="P14">
        <v>0.04</v>
      </c>
      <c r="Q14">
        <v>20</v>
      </c>
      <c r="R14" s="13">
        <f t="shared" ca="1" si="2"/>
        <v>181.58104337504119</v>
      </c>
      <c r="S14" s="13">
        <f t="shared" ca="1" si="4"/>
        <v>181.58104337503391</v>
      </c>
    </row>
    <row r="15" spans="1:19" x14ac:dyDescent="0.55000000000000004">
      <c r="A15">
        <v>0</v>
      </c>
      <c r="B15">
        <v>0</v>
      </c>
      <c r="C15">
        <v>4.4999999999999998E-2</v>
      </c>
      <c r="D15">
        <v>30</v>
      </c>
      <c r="E15" s="13">
        <f t="shared" ca="1" si="0"/>
        <v>-5.4569682106375694E-12</v>
      </c>
      <c r="G15">
        <v>1E-3</v>
      </c>
      <c r="H15">
        <v>0</v>
      </c>
      <c r="I15">
        <v>4.4999999999999998E-2</v>
      </c>
      <c r="J15">
        <v>30</v>
      </c>
      <c r="K15" s="13">
        <f t="shared" ca="1" si="1"/>
        <v>26.979209023065778</v>
      </c>
      <c r="L15" s="13">
        <f t="shared" ca="1" si="3"/>
        <v>26.979209023071235</v>
      </c>
      <c r="N15">
        <v>0</v>
      </c>
      <c r="O15">
        <v>-1E-3</v>
      </c>
      <c r="P15">
        <v>4.4999999999999998E-2</v>
      </c>
      <c r="Q15">
        <v>30</v>
      </c>
      <c r="R15" s="13">
        <f t="shared" ca="1" si="2"/>
        <v>244.43661046057787</v>
      </c>
      <c r="S15" s="13">
        <f t="shared" ca="1" si="4"/>
        <v>244.43661046058332</v>
      </c>
    </row>
    <row r="17" spans="1:19" x14ac:dyDescent="0.55000000000000004">
      <c r="A17" s="11" t="s">
        <v>16</v>
      </c>
      <c r="B17" s="12"/>
      <c r="C17" s="12"/>
      <c r="D17" s="12"/>
    </row>
    <row r="18" spans="1:19" x14ac:dyDescent="0.55000000000000004">
      <c r="G18" s="14" t="s">
        <v>22</v>
      </c>
      <c r="H18" s="14"/>
      <c r="I18" s="14"/>
      <c r="J18" s="14"/>
      <c r="K18" s="14"/>
      <c r="L18" s="5"/>
      <c r="N18" s="14" t="s">
        <v>23</v>
      </c>
      <c r="O18" s="14"/>
      <c r="P18" s="14"/>
      <c r="Q18" s="14"/>
      <c r="R18" s="14"/>
    </row>
    <row r="19" spans="1:19" x14ac:dyDescent="0.55000000000000004">
      <c r="A19" t="s">
        <v>7</v>
      </c>
      <c r="B19" t="s">
        <v>8</v>
      </c>
      <c r="C19" t="s">
        <v>9</v>
      </c>
      <c r="D19" t="s">
        <v>10</v>
      </c>
      <c r="E19" s="4" t="s">
        <v>11</v>
      </c>
      <c r="G19" t="s">
        <v>7</v>
      </c>
      <c r="H19" t="s">
        <v>8</v>
      </c>
      <c r="I19" t="s">
        <v>9</v>
      </c>
      <c r="J19" t="s">
        <v>10</v>
      </c>
      <c r="K19" s="4" t="s">
        <v>11</v>
      </c>
      <c r="L19" s="4" t="s">
        <v>18</v>
      </c>
      <c r="N19" t="s">
        <v>7</v>
      </c>
      <c r="O19" t="s">
        <v>8</v>
      </c>
      <c r="P19" t="s">
        <v>9</v>
      </c>
      <c r="Q19" t="s">
        <v>10</v>
      </c>
      <c r="R19" s="4" t="s">
        <v>11</v>
      </c>
      <c r="S19" s="4" t="s">
        <v>18</v>
      </c>
    </row>
    <row r="20" spans="1:19" x14ac:dyDescent="0.55000000000000004">
      <c r="A20">
        <v>0</v>
      </c>
      <c r="B20">
        <v>0</v>
      </c>
      <c r="C20">
        <f ca="1">C7-0.001</f>
        <v>4.4999999999999997E-3</v>
      </c>
      <c r="D20">
        <v>0.5</v>
      </c>
      <c r="E20" s="13">
        <f t="shared" ref="E20:E28" ca="1" si="5">GetReceiverSwapNPV(ois_zero_rates, euribor_zero_rates, A20,B20,C20,D20)</f>
        <v>-5.0062578738943557</v>
      </c>
      <c r="G20">
        <v>1E-3</v>
      </c>
      <c r="H20">
        <v>0</v>
      </c>
      <c r="I20">
        <f ca="1">C20</f>
        <v>4.4999999999999997E-3</v>
      </c>
      <c r="J20">
        <f ca="1">D20</f>
        <v>0.5</v>
      </c>
      <c r="K20" s="13">
        <f t="shared" ref="K20:K28" ca="1" si="6">GetReceiverSwapNPV(ois_zero_rates, euribor_zero_rates, G20,H20,I20,J20)</f>
        <v>-5.00375537063519</v>
      </c>
      <c r="L20" s="13">
        <f ca="1">K20-E20</f>
        <v>2.5025032591656782E-3</v>
      </c>
      <c r="N20">
        <v>0</v>
      </c>
      <c r="O20">
        <v>-1E-3</v>
      </c>
      <c r="P20">
        <f ca="1">C20</f>
        <v>4.4999999999999997E-3</v>
      </c>
      <c r="Q20">
        <f ca="1">D20</f>
        <v>0.5</v>
      </c>
      <c r="R20" s="13">
        <f t="shared" ref="R20:R28" ca="1" si="7">GetReceiverSwapNPV(ois_zero_rates, euribor_zero_rates, N20,O20,P20,Q20)</f>
        <v>1.2512360295659164E-2</v>
      </c>
      <c r="S20" s="13">
        <f ca="1">R20-E20</f>
        <v>5.0187702341900149</v>
      </c>
    </row>
    <row r="21" spans="1:19" x14ac:dyDescent="0.55000000000000004">
      <c r="A21">
        <v>0</v>
      </c>
      <c r="B21">
        <v>0</v>
      </c>
      <c r="C21">
        <f t="shared" ref="C21:C28" ca="1" si="8">C8-0.001</f>
        <v>6.0000000000000001E-3</v>
      </c>
      <c r="D21">
        <v>1</v>
      </c>
      <c r="E21" s="13">
        <f t="shared" ca="1" si="5"/>
        <v>-10.012515644473751</v>
      </c>
      <c r="G21">
        <v>1E-3</v>
      </c>
      <c r="H21">
        <v>0</v>
      </c>
      <c r="I21">
        <f t="shared" ref="I21:J28" ca="1" si="9">C21</f>
        <v>6.0000000000000001E-3</v>
      </c>
      <c r="J21">
        <f t="shared" ca="1" si="9"/>
        <v>1</v>
      </c>
      <c r="K21" s="13">
        <f t="shared" ca="1" si="6"/>
        <v>-10.00125750729967</v>
      </c>
      <c r="L21" s="13">
        <f t="shared" ref="L21:L28" ca="1" si="10">K21-E21</f>
        <v>1.1258137174081639E-2</v>
      </c>
      <c r="N21">
        <v>0</v>
      </c>
      <c r="O21">
        <v>-1E-3</v>
      </c>
      <c r="P21">
        <f t="shared" ref="P21:Q28" ca="1" si="11">C21</f>
        <v>6.0000000000000001E-3</v>
      </c>
      <c r="Q21">
        <f t="shared" ca="1" si="11"/>
        <v>1</v>
      </c>
      <c r="R21" s="13">
        <f t="shared" ca="1" si="7"/>
        <v>3.2532333492781618E-2</v>
      </c>
      <c r="S21" s="13">
        <f t="shared" ref="S21:S28" ca="1" si="12">R21-E21</f>
        <v>10.045047977966533</v>
      </c>
    </row>
    <row r="22" spans="1:19" x14ac:dyDescent="0.55000000000000004">
      <c r="A22">
        <v>0</v>
      </c>
      <c r="B22">
        <v>0</v>
      </c>
      <c r="C22">
        <f t="shared" ca="1" si="8"/>
        <v>1.15E-2</v>
      </c>
      <c r="D22">
        <v>2</v>
      </c>
      <c r="E22" s="13">
        <f t="shared" ca="1" si="5"/>
        <v>-20.016269711793939</v>
      </c>
      <c r="G22">
        <v>1E-3</v>
      </c>
      <c r="H22">
        <v>0</v>
      </c>
      <c r="I22">
        <f t="shared" ca="1" si="9"/>
        <v>1.15E-2</v>
      </c>
      <c r="J22">
        <f t="shared" ca="1" si="9"/>
        <v>2</v>
      </c>
      <c r="K22" s="13">
        <f t="shared" ca="1" si="6"/>
        <v>-19.925639495406358</v>
      </c>
      <c r="L22" s="13">
        <f t="shared" ca="1" si="10"/>
        <v>9.0630216387580731E-2</v>
      </c>
      <c r="N22">
        <v>0</v>
      </c>
      <c r="O22">
        <v>-1E-3</v>
      </c>
      <c r="P22">
        <f t="shared" ca="1" si="11"/>
        <v>1.15E-2</v>
      </c>
      <c r="Q22">
        <f t="shared" ca="1" si="11"/>
        <v>2</v>
      </c>
      <c r="R22" s="13">
        <f t="shared" ca="1" si="7"/>
        <v>0.12006718200245814</v>
      </c>
      <c r="S22" s="13">
        <f t="shared" ca="1" si="12"/>
        <v>20.136336893796397</v>
      </c>
    </row>
    <row r="23" spans="1:19" x14ac:dyDescent="0.55000000000000004">
      <c r="A23">
        <v>0</v>
      </c>
      <c r="B23">
        <v>0</v>
      </c>
      <c r="C23">
        <f t="shared" ca="1" si="8"/>
        <v>1.55E-2</v>
      </c>
      <c r="D23">
        <v>3</v>
      </c>
      <c r="E23" s="13">
        <f t="shared" ca="1" si="5"/>
        <v>-29.99076967156725</v>
      </c>
      <c r="G23">
        <v>1E-3</v>
      </c>
      <c r="H23">
        <v>0</v>
      </c>
      <c r="I23">
        <f t="shared" ca="1" si="9"/>
        <v>1.55E-2</v>
      </c>
      <c r="J23">
        <f t="shared" ca="1" si="9"/>
        <v>3</v>
      </c>
      <c r="K23" s="13">
        <f t="shared" ca="1" si="6"/>
        <v>-29.747879769411156</v>
      </c>
      <c r="L23" s="13">
        <f t="shared" ca="1" si="10"/>
        <v>0.24288990215609374</v>
      </c>
      <c r="N23">
        <v>0</v>
      </c>
      <c r="O23">
        <v>-1E-3</v>
      </c>
      <c r="P23">
        <f t="shared" ca="1" si="11"/>
        <v>1.55E-2</v>
      </c>
      <c r="Q23">
        <f t="shared" ca="1" si="11"/>
        <v>3</v>
      </c>
      <c r="R23" s="13">
        <f t="shared" ca="1" si="7"/>
        <v>0.23986556208183174</v>
      </c>
      <c r="S23" s="13">
        <f t="shared" ca="1" si="12"/>
        <v>30.230635233649082</v>
      </c>
    </row>
    <row r="24" spans="1:19" x14ac:dyDescent="0.55000000000000004">
      <c r="A24">
        <v>0</v>
      </c>
      <c r="B24">
        <v>0</v>
      </c>
      <c r="C24">
        <f t="shared" ca="1" si="8"/>
        <v>1.6250000000000001E-2</v>
      </c>
      <c r="D24">
        <v>5</v>
      </c>
      <c r="E24" s="13">
        <f t="shared" ca="1" si="5"/>
        <v>-49.816070030643459</v>
      </c>
      <c r="G24">
        <v>1E-3</v>
      </c>
      <c r="H24">
        <v>0</v>
      </c>
      <c r="I24">
        <f t="shared" ca="1" si="9"/>
        <v>1.6250000000000001E-2</v>
      </c>
      <c r="J24">
        <f t="shared" ca="1" si="9"/>
        <v>5</v>
      </c>
      <c r="K24" s="13">
        <f t="shared" ca="1" si="6"/>
        <v>-49.428406657974847</v>
      </c>
      <c r="L24" s="13">
        <f t="shared" ca="1" si="10"/>
        <v>0.38766337266861228</v>
      </c>
      <c r="N24">
        <v>0</v>
      </c>
      <c r="O24">
        <v>-1E-3</v>
      </c>
      <c r="P24">
        <f t="shared" ca="1" si="11"/>
        <v>1.6250000000000001E-2</v>
      </c>
      <c r="Q24">
        <f t="shared" ca="1" si="11"/>
        <v>5</v>
      </c>
      <c r="R24" s="13">
        <f t="shared" ca="1" si="7"/>
        <v>0.4171042644084082</v>
      </c>
      <c r="S24" s="13">
        <f t="shared" ca="1" si="12"/>
        <v>50.233174295051867</v>
      </c>
    </row>
    <row r="25" spans="1:19" x14ac:dyDescent="0.55000000000000004">
      <c r="A25">
        <v>0</v>
      </c>
      <c r="B25">
        <v>0</v>
      </c>
      <c r="C25">
        <f t="shared" ca="1" si="8"/>
        <v>2.1499999999999998E-2</v>
      </c>
      <c r="D25">
        <v>7</v>
      </c>
      <c r="E25" s="13">
        <f t="shared" ca="1" si="5"/>
        <v>-69.103175313917745</v>
      </c>
      <c r="G25">
        <v>1E-3</v>
      </c>
      <c r="H25">
        <v>0</v>
      </c>
      <c r="I25">
        <f t="shared" ca="1" si="9"/>
        <v>2.1499999999999998E-2</v>
      </c>
      <c r="J25">
        <f t="shared" ca="1" si="9"/>
        <v>7</v>
      </c>
      <c r="K25" s="13">
        <f t="shared" ca="1" si="6"/>
        <v>-67.65167017924432</v>
      </c>
      <c r="L25" s="13">
        <f t="shared" ca="1" si="10"/>
        <v>1.4515051346734253</v>
      </c>
      <c r="N25">
        <v>0</v>
      </c>
      <c r="O25">
        <v>-1E-3</v>
      </c>
      <c r="P25">
        <f t="shared" ca="1" si="11"/>
        <v>2.1499999999999998E-2</v>
      </c>
      <c r="Q25">
        <f t="shared" ca="1" si="11"/>
        <v>7</v>
      </c>
      <c r="R25" s="13">
        <f t="shared" ca="1" si="7"/>
        <v>0.7599434927378752</v>
      </c>
      <c r="S25" s="13">
        <f t="shared" ca="1" si="12"/>
        <v>69.863118806655621</v>
      </c>
    </row>
    <row r="26" spans="1:19" x14ac:dyDescent="0.55000000000000004">
      <c r="A26">
        <v>0</v>
      </c>
      <c r="B26">
        <v>0</v>
      </c>
      <c r="C26">
        <f t="shared" ca="1" si="8"/>
        <v>3.15E-2</v>
      </c>
      <c r="D26">
        <v>10</v>
      </c>
      <c r="E26" s="13">
        <f t="shared" ca="1" si="5"/>
        <v>-96.790995432824275</v>
      </c>
      <c r="G26">
        <v>1E-3</v>
      </c>
      <c r="H26">
        <v>0</v>
      </c>
      <c r="I26">
        <f t="shared" ca="1" si="9"/>
        <v>3.15E-2</v>
      </c>
      <c r="J26">
        <f t="shared" ca="1" si="9"/>
        <v>10</v>
      </c>
      <c r="K26" s="13">
        <f t="shared" ca="1" si="6"/>
        <v>-91.510822803775227</v>
      </c>
      <c r="L26" s="13">
        <f t="shared" ca="1" si="10"/>
        <v>5.2801726290490478</v>
      </c>
      <c r="N26">
        <v>0</v>
      </c>
      <c r="O26">
        <v>-1E-3</v>
      </c>
      <c r="P26">
        <f t="shared" ca="1" si="11"/>
        <v>3.15E-2</v>
      </c>
      <c r="Q26">
        <f t="shared" ca="1" si="11"/>
        <v>10</v>
      </c>
      <c r="R26" s="13">
        <f t="shared" ca="1" si="7"/>
        <v>1.5482668132262916</v>
      </c>
      <c r="S26" s="13">
        <f t="shared" ca="1" si="12"/>
        <v>98.339262246050566</v>
      </c>
    </row>
    <row r="27" spans="1:19" x14ac:dyDescent="0.55000000000000004">
      <c r="A27">
        <v>0</v>
      </c>
      <c r="B27">
        <v>0</v>
      </c>
      <c r="C27">
        <f t="shared" ca="1" si="8"/>
        <v>3.9E-2</v>
      </c>
      <c r="D27">
        <v>20</v>
      </c>
      <c r="E27" s="13">
        <f t="shared" ca="1" si="5"/>
        <v>-178.06513962628742</v>
      </c>
      <c r="G27">
        <v>1E-3</v>
      </c>
      <c r="H27">
        <v>0</v>
      </c>
      <c r="I27">
        <f t="shared" ca="1" si="9"/>
        <v>3.9E-2</v>
      </c>
      <c r="J27">
        <f t="shared" ca="1" si="9"/>
        <v>20</v>
      </c>
      <c r="K27" s="13">
        <f t="shared" ca="1" si="6"/>
        <v>-163.37625895614474</v>
      </c>
      <c r="L27" s="13">
        <f t="shared" ca="1" si="10"/>
        <v>14.68888067014268</v>
      </c>
      <c r="N27">
        <v>0</v>
      </c>
      <c r="O27">
        <v>-1E-3</v>
      </c>
      <c r="P27">
        <f t="shared" ca="1" si="11"/>
        <v>3.9E-2</v>
      </c>
      <c r="Q27">
        <f t="shared" ca="1" si="11"/>
        <v>20</v>
      </c>
      <c r="R27" s="13">
        <f t="shared" ca="1" si="7"/>
        <v>3.5159037487464957</v>
      </c>
      <c r="S27" s="13">
        <f t="shared" ca="1" si="12"/>
        <v>181.58104337503391</v>
      </c>
    </row>
    <row r="28" spans="1:19" x14ac:dyDescent="0.55000000000000004">
      <c r="A28">
        <v>0</v>
      </c>
      <c r="B28">
        <v>0</v>
      </c>
      <c r="C28">
        <f t="shared" ca="1" si="8"/>
        <v>4.3999999999999997E-2</v>
      </c>
      <c r="D28">
        <v>30</v>
      </c>
      <c r="E28" s="13">
        <f t="shared" ca="1" si="5"/>
        <v>-239.11757917421164</v>
      </c>
      <c r="G28">
        <v>1E-3</v>
      </c>
      <c r="H28">
        <v>0</v>
      </c>
      <c r="I28">
        <f t="shared" ca="1" si="9"/>
        <v>4.3999999999999997E-2</v>
      </c>
      <c r="J28">
        <f t="shared" ca="1" si="9"/>
        <v>30</v>
      </c>
      <c r="K28" s="13">
        <f t="shared" ca="1" si="6"/>
        <v>-208.921617537977</v>
      </c>
      <c r="L28" s="13">
        <f t="shared" ca="1" si="10"/>
        <v>30.195961636234642</v>
      </c>
      <c r="N28">
        <v>0</v>
      </c>
      <c r="O28">
        <v>-1E-3</v>
      </c>
      <c r="P28">
        <f t="shared" ca="1" si="11"/>
        <v>4.3999999999999997E-2</v>
      </c>
      <c r="Q28">
        <f t="shared" ca="1" si="11"/>
        <v>30</v>
      </c>
      <c r="R28" s="13">
        <f t="shared" ca="1" si="7"/>
        <v>5.3190312863716827</v>
      </c>
      <c r="S28" s="13">
        <f t="shared" ca="1" si="12"/>
        <v>244.43661046058332</v>
      </c>
    </row>
    <row r="30" spans="1:19" x14ac:dyDescent="0.55000000000000004">
      <c r="A30" s="11" t="s">
        <v>17</v>
      </c>
      <c r="B30" s="11"/>
      <c r="C30" s="11"/>
      <c r="D30" s="12"/>
    </row>
    <row r="31" spans="1:19" x14ac:dyDescent="0.55000000000000004">
      <c r="G31" s="14" t="s">
        <v>22</v>
      </c>
      <c r="H31" s="14"/>
      <c r="I31" s="14"/>
      <c r="J31" s="14"/>
      <c r="K31" s="14"/>
      <c r="L31" s="5"/>
      <c r="N31" s="14" t="s">
        <v>23</v>
      </c>
      <c r="O31" s="14"/>
      <c r="P31" s="14"/>
      <c r="Q31" s="14"/>
      <c r="R31" s="14"/>
    </row>
    <row r="32" spans="1:19" x14ac:dyDescent="0.55000000000000004">
      <c r="A32" t="s">
        <v>7</v>
      </c>
      <c r="B32" t="s">
        <v>8</v>
      </c>
      <c r="C32" t="s">
        <v>9</v>
      </c>
      <c r="D32" t="s">
        <v>10</v>
      </c>
      <c r="E32" s="4" t="s">
        <v>11</v>
      </c>
      <c r="G32" t="s">
        <v>7</v>
      </c>
      <c r="H32" t="s">
        <v>8</v>
      </c>
      <c r="I32" t="s">
        <v>9</v>
      </c>
      <c r="J32" t="s">
        <v>10</v>
      </c>
      <c r="K32" s="4" t="s">
        <v>11</v>
      </c>
      <c r="L32" s="4" t="s">
        <v>18</v>
      </c>
      <c r="N32" t="s">
        <v>7</v>
      </c>
      <c r="O32" t="s">
        <v>8</v>
      </c>
      <c r="P32" t="s">
        <v>9</v>
      </c>
      <c r="Q32" t="s">
        <v>10</v>
      </c>
      <c r="R32" s="4" t="s">
        <v>11</v>
      </c>
      <c r="S32" s="4" t="s">
        <v>18</v>
      </c>
    </row>
    <row r="33" spans="1:19" x14ac:dyDescent="0.55000000000000004">
      <c r="A33">
        <v>0</v>
      </c>
      <c r="B33">
        <v>0</v>
      </c>
      <c r="C33">
        <f ca="1">C7+0.001</f>
        <v>6.4999999999999997E-3</v>
      </c>
      <c r="D33">
        <v>0.5</v>
      </c>
      <c r="E33" s="13">
        <f t="shared" ref="E33:E41" ca="1" si="13">GetReceiverSwapNPV(ois_zero_rates, euribor_zero_rates, A33,B33,C33,D33)</f>
        <v>5.0062577706448792</v>
      </c>
      <c r="G33">
        <v>1E-3</v>
      </c>
      <c r="H33">
        <v>0</v>
      </c>
      <c r="I33">
        <f ca="1">C33</f>
        <v>6.4999999999999997E-3</v>
      </c>
      <c r="J33">
        <f ca="1">D33</f>
        <v>0.5</v>
      </c>
      <c r="K33" s="13">
        <f t="shared" ref="K33:K41" ca="1" si="14">GetReceiverSwapNPV(ois_zero_rates, euribor_zero_rates, G33,H33,I33,J33)</f>
        <v>5.0037552674348262</v>
      </c>
      <c r="L33" s="13">
        <f ca="1">K33-E33</f>
        <v>-2.5025032100529643E-3</v>
      </c>
      <c r="N33">
        <v>0</v>
      </c>
      <c r="O33">
        <v>-1E-3</v>
      </c>
      <c r="P33">
        <f ca="1">C33</f>
        <v>6.4999999999999997E-3</v>
      </c>
      <c r="Q33">
        <f ca="1">D33</f>
        <v>0.5</v>
      </c>
      <c r="R33" s="13">
        <f t="shared" ref="R33:R41" ca="1" si="15">GetReceiverSwapNPV(ois_zero_rates, euribor_zero_rates, N33,O33,P33,Q33)</f>
        <v>10.025028004834894</v>
      </c>
      <c r="S33" s="13">
        <f ca="1">R33-E33</f>
        <v>5.0187702341900149</v>
      </c>
    </row>
    <row r="34" spans="1:19" x14ac:dyDescent="0.55000000000000004">
      <c r="A34">
        <v>0</v>
      </c>
      <c r="B34">
        <v>0</v>
      </c>
      <c r="C34">
        <f t="shared" ref="C34:C41" ca="1" si="16">C8+0.001</f>
        <v>8.0000000000000002E-3</v>
      </c>
      <c r="D34">
        <v>1</v>
      </c>
      <c r="E34" s="13">
        <f t="shared" ca="1" si="13"/>
        <v>10.012515644482846</v>
      </c>
      <c r="G34">
        <v>1E-3</v>
      </c>
      <c r="H34">
        <v>0</v>
      </c>
      <c r="I34">
        <f t="shared" ref="I34:J41" ca="1" si="17">C34</f>
        <v>8.0000000000000002E-3</v>
      </c>
      <c r="J34">
        <f t="shared" ca="1" si="17"/>
        <v>1</v>
      </c>
      <c r="K34" s="13">
        <f t="shared" ca="1" si="14"/>
        <v>10.00876126413641</v>
      </c>
      <c r="L34" s="13">
        <f t="shared" ref="L34:L41" ca="1" si="18">K34-E34</f>
        <v>-3.7543803464359371E-3</v>
      </c>
      <c r="N34">
        <v>0</v>
      </c>
      <c r="O34">
        <v>-1E-3</v>
      </c>
      <c r="P34">
        <f t="shared" ref="P34:Q41" ca="1" si="19">C34</f>
        <v>8.0000000000000002E-3</v>
      </c>
      <c r="Q34">
        <f t="shared" ca="1" si="19"/>
        <v>1</v>
      </c>
      <c r="R34" s="13">
        <f t="shared" ca="1" si="15"/>
        <v>20.057563622449379</v>
      </c>
      <c r="S34" s="13">
        <f t="shared" ref="S34:S41" ca="1" si="20">R34-E34</f>
        <v>10.045047977966533</v>
      </c>
    </row>
    <row r="35" spans="1:19" x14ac:dyDescent="0.55000000000000004">
      <c r="A35">
        <v>0</v>
      </c>
      <c r="B35">
        <v>0</v>
      </c>
      <c r="C35">
        <f t="shared" ca="1" si="16"/>
        <v>1.3500000000000002E-2</v>
      </c>
      <c r="D35">
        <v>2</v>
      </c>
      <c r="E35" s="13">
        <f t="shared" ca="1" si="13"/>
        <v>20.016269711861241</v>
      </c>
      <c r="G35">
        <v>1E-3</v>
      </c>
      <c r="H35">
        <v>0</v>
      </c>
      <c r="I35">
        <f t="shared" ca="1" si="17"/>
        <v>1.3500000000000002E-2</v>
      </c>
      <c r="J35">
        <f t="shared" ca="1" si="17"/>
        <v>2</v>
      </c>
      <c r="K35" s="13">
        <f t="shared" ca="1" si="14"/>
        <v>20.056907388019681</v>
      </c>
      <c r="L35" s="13">
        <f t="shared" ca="1" si="18"/>
        <v>4.0637676158439717E-2</v>
      </c>
      <c r="N35">
        <v>0</v>
      </c>
      <c r="O35">
        <v>-1E-3</v>
      </c>
      <c r="P35">
        <f t="shared" ca="1" si="19"/>
        <v>1.3500000000000002E-2</v>
      </c>
      <c r="Q35">
        <f t="shared" ca="1" si="19"/>
        <v>2</v>
      </c>
      <c r="R35" s="13">
        <f t="shared" ca="1" si="15"/>
        <v>40.152606605657638</v>
      </c>
      <c r="S35" s="13">
        <f t="shared" ca="1" si="20"/>
        <v>20.136336893796397</v>
      </c>
    </row>
    <row r="36" spans="1:19" x14ac:dyDescent="0.55000000000000004">
      <c r="A36">
        <v>0</v>
      </c>
      <c r="B36">
        <v>0</v>
      </c>
      <c r="C36">
        <f t="shared" ca="1" si="16"/>
        <v>1.7500000000000002E-2</v>
      </c>
      <c r="D36">
        <v>3</v>
      </c>
      <c r="E36" s="13">
        <f t="shared" ca="1" si="13"/>
        <v>29.99076967336805</v>
      </c>
      <c r="G36">
        <v>1E-3</v>
      </c>
      <c r="H36">
        <v>0</v>
      </c>
      <c r="I36">
        <f t="shared" ca="1" si="17"/>
        <v>1.7500000000000002E-2</v>
      </c>
      <c r="J36">
        <f t="shared" ca="1" si="17"/>
        <v>3</v>
      </c>
      <c r="K36" s="13">
        <f t="shared" ca="1" si="14"/>
        <v>30.1288885003014</v>
      </c>
      <c r="L36" s="13">
        <f t="shared" ca="1" si="18"/>
        <v>0.13811882693335065</v>
      </c>
      <c r="N36">
        <v>0</v>
      </c>
      <c r="O36">
        <v>-1E-3</v>
      </c>
      <c r="P36">
        <f t="shared" ca="1" si="19"/>
        <v>1.7500000000000002E-2</v>
      </c>
      <c r="Q36">
        <f t="shared" ca="1" si="19"/>
        <v>3</v>
      </c>
      <c r="R36" s="13">
        <f t="shared" ca="1" si="15"/>
        <v>60.221404907017131</v>
      </c>
      <c r="S36" s="13">
        <f t="shared" ca="1" si="20"/>
        <v>30.230635233649082</v>
      </c>
    </row>
    <row r="37" spans="1:19" x14ac:dyDescent="0.55000000000000004">
      <c r="A37">
        <v>0</v>
      </c>
      <c r="B37">
        <v>0</v>
      </c>
      <c r="C37">
        <f t="shared" ca="1" si="16"/>
        <v>1.8250000000000002E-2</v>
      </c>
      <c r="D37">
        <v>5</v>
      </c>
      <c r="E37" s="13">
        <f t="shared" ca="1" si="13"/>
        <v>49.816070031625713</v>
      </c>
      <c r="G37">
        <v>1E-3</v>
      </c>
      <c r="H37">
        <v>0</v>
      </c>
      <c r="I37">
        <f t="shared" ca="1" si="17"/>
        <v>1.8250000000000002E-2</v>
      </c>
      <c r="J37">
        <f t="shared" ca="1" si="17"/>
        <v>5</v>
      </c>
      <c r="K37" s="13">
        <f t="shared" ca="1" si="14"/>
        <v>49.930870119387691</v>
      </c>
      <c r="L37" s="13">
        <f t="shared" ca="1" si="18"/>
        <v>0.11480008776197792</v>
      </c>
      <c r="N37">
        <v>0</v>
      </c>
      <c r="O37">
        <v>-1E-3</v>
      </c>
      <c r="P37">
        <f t="shared" ca="1" si="19"/>
        <v>1.8250000000000002E-2</v>
      </c>
      <c r="Q37">
        <f t="shared" ca="1" si="19"/>
        <v>5</v>
      </c>
      <c r="R37" s="13">
        <f t="shared" ca="1" si="15"/>
        <v>100.04924432667758</v>
      </c>
      <c r="S37" s="13">
        <f t="shared" ca="1" si="20"/>
        <v>50.233174295051867</v>
      </c>
    </row>
    <row r="38" spans="1:19" x14ac:dyDescent="0.55000000000000004">
      <c r="A38">
        <v>0</v>
      </c>
      <c r="B38">
        <v>0</v>
      </c>
      <c r="C38">
        <f t="shared" ca="1" si="16"/>
        <v>2.35E-2</v>
      </c>
      <c r="D38">
        <v>7</v>
      </c>
      <c r="E38" s="13">
        <f t="shared" ca="1" si="13"/>
        <v>69.103175325089978</v>
      </c>
      <c r="G38">
        <v>1E-3</v>
      </c>
      <c r="H38">
        <v>0</v>
      </c>
      <c r="I38">
        <f t="shared" ca="1" si="17"/>
        <v>2.35E-2</v>
      </c>
      <c r="J38">
        <f t="shared" ca="1" si="17"/>
        <v>7</v>
      </c>
      <c r="K38" s="13">
        <f t="shared" ca="1" si="14"/>
        <v>70.041745001446543</v>
      </c>
      <c r="L38" s="13">
        <f t="shared" ca="1" si="18"/>
        <v>0.93856967635656474</v>
      </c>
      <c r="N38">
        <v>0</v>
      </c>
      <c r="O38">
        <v>-1E-3</v>
      </c>
      <c r="P38">
        <f t="shared" ca="1" si="19"/>
        <v>2.35E-2</v>
      </c>
      <c r="Q38">
        <f t="shared" ca="1" si="19"/>
        <v>7</v>
      </c>
      <c r="R38" s="13">
        <f t="shared" ca="1" si="15"/>
        <v>138.9662941317456</v>
      </c>
      <c r="S38" s="13">
        <f t="shared" ca="1" si="20"/>
        <v>69.863118806655621</v>
      </c>
    </row>
    <row r="39" spans="1:19" x14ac:dyDescent="0.55000000000000004">
      <c r="A39">
        <v>0</v>
      </c>
      <c r="B39">
        <v>0</v>
      </c>
      <c r="C39">
        <f t="shared" ca="1" si="16"/>
        <v>3.3500000000000002E-2</v>
      </c>
      <c r="D39">
        <v>10</v>
      </c>
      <c r="E39" s="13">
        <f t="shared" ca="1" si="13"/>
        <v>96.790995436254889</v>
      </c>
      <c r="G39">
        <v>1E-3</v>
      </c>
      <c r="H39">
        <v>0</v>
      </c>
      <c r="I39">
        <f t="shared" ca="1" si="17"/>
        <v>3.3500000000000002E-2</v>
      </c>
      <c r="J39">
        <f t="shared" ca="1" si="17"/>
        <v>10</v>
      </c>
      <c r="K39" s="13">
        <f t="shared" ca="1" si="14"/>
        <v>101.0764944949351</v>
      </c>
      <c r="L39" s="13">
        <f t="shared" ca="1" si="18"/>
        <v>4.285499058680216</v>
      </c>
      <c r="N39">
        <v>0</v>
      </c>
      <c r="O39">
        <v>-1E-3</v>
      </c>
      <c r="P39">
        <f t="shared" ca="1" si="19"/>
        <v>3.3500000000000002E-2</v>
      </c>
      <c r="Q39">
        <f t="shared" ca="1" si="19"/>
        <v>10</v>
      </c>
      <c r="R39" s="13">
        <f t="shared" ca="1" si="15"/>
        <v>195.13025768230546</v>
      </c>
      <c r="S39" s="13">
        <f t="shared" ca="1" si="20"/>
        <v>98.339262246050566</v>
      </c>
    </row>
    <row r="40" spans="1:19" x14ac:dyDescent="0.55000000000000004">
      <c r="A40">
        <v>0</v>
      </c>
      <c r="B40">
        <v>0</v>
      </c>
      <c r="C40">
        <f t="shared" ca="1" si="16"/>
        <v>4.1000000000000002E-2</v>
      </c>
      <c r="D40">
        <v>20</v>
      </c>
      <c r="E40" s="13">
        <f t="shared" ca="1" si="13"/>
        <v>178.06513962629651</v>
      </c>
      <c r="G40">
        <v>1E-3</v>
      </c>
      <c r="H40">
        <v>0</v>
      </c>
      <c r="I40">
        <f t="shared" ca="1" si="17"/>
        <v>4.1000000000000002E-2</v>
      </c>
      <c r="J40">
        <f t="shared" ca="1" si="17"/>
        <v>20</v>
      </c>
      <c r="K40" s="13">
        <f t="shared" ca="1" si="14"/>
        <v>189.33009949008192</v>
      </c>
      <c r="L40" s="13">
        <f t="shared" ca="1" si="18"/>
        <v>11.264959863785407</v>
      </c>
      <c r="N40">
        <v>0</v>
      </c>
      <c r="O40">
        <v>-1E-3</v>
      </c>
      <c r="P40">
        <f t="shared" ca="1" si="19"/>
        <v>4.1000000000000002E-2</v>
      </c>
      <c r="Q40">
        <f t="shared" ca="1" si="19"/>
        <v>20</v>
      </c>
      <c r="R40" s="13">
        <f t="shared" ca="1" si="15"/>
        <v>359.64618300133043</v>
      </c>
      <c r="S40" s="13">
        <f t="shared" ca="1" si="20"/>
        <v>181.58104337503391</v>
      </c>
    </row>
    <row r="41" spans="1:19" x14ac:dyDescent="0.55000000000000004">
      <c r="A41">
        <v>0</v>
      </c>
      <c r="B41">
        <v>0</v>
      </c>
      <c r="C41">
        <f t="shared" ca="1" si="16"/>
        <v>4.5999999999999999E-2</v>
      </c>
      <c r="D41">
        <v>30</v>
      </c>
      <c r="E41" s="13">
        <f t="shared" ca="1" si="13"/>
        <v>239.11757917420437</v>
      </c>
      <c r="G41">
        <v>1E-3</v>
      </c>
      <c r="H41">
        <v>0</v>
      </c>
      <c r="I41">
        <f t="shared" ca="1" si="17"/>
        <v>4.5999999999999999E-2</v>
      </c>
      <c r="J41">
        <f t="shared" ca="1" si="17"/>
        <v>30</v>
      </c>
      <c r="K41" s="13">
        <f t="shared" ca="1" si="14"/>
        <v>262.88003558410855</v>
      </c>
      <c r="L41" s="13">
        <f t="shared" ca="1" si="18"/>
        <v>23.762456409904189</v>
      </c>
      <c r="N41">
        <v>0</v>
      </c>
      <c r="O41">
        <v>-1E-3</v>
      </c>
      <c r="P41">
        <f t="shared" ca="1" si="19"/>
        <v>4.5999999999999999E-2</v>
      </c>
      <c r="Q41">
        <f t="shared" ca="1" si="19"/>
        <v>30</v>
      </c>
      <c r="R41" s="13">
        <f t="shared" ca="1" si="15"/>
        <v>483.55418963478769</v>
      </c>
      <c r="S41" s="13">
        <f t="shared" ca="1" si="20"/>
        <v>244.43661046058332</v>
      </c>
    </row>
    <row r="43" spans="1:19" ht="14.7" thickBot="1" x14ac:dyDescent="0.6">
      <c r="A43" s="6" t="s">
        <v>19</v>
      </c>
      <c r="B43" s="6"/>
    </row>
    <row r="44" spans="1:19" x14ac:dyDescent="0.55000000000000004">
      <c r="A44" s="4" t="s">
        <v>36</v>
      </c>
    </row>
    <row r="45" spans="1:19" x14ac:dyDescent="0.55000000000000004">
      <c r="A45" s="4" t="s">
        <v>37</v>
      </c>
    </row>
    <row r="46" spans="1:19" x14ac:dyDescent="0.55000000000000004">
      <c r="A46" s="4" t="s">
        <v>35</v>
      </c>
    </row>
    <row r="47" spans="1:19" x14ac:dyDescent="0.55000000000000004">
      <c r="A47" s="4" t="s">
        <v>40</v>
      </c>
    </row>
  </sheetData>
  <mergeCells count="6">
    <mergeCell ref="G5:K5"/>
    <mergeCell ref="N5:R5"/>
    <mergeCell ref="G18:K18"/>
    <mergeCell ref="N18:R18"/>
    <mergeCell ref="G31:K31"/>
    <mergeCell ref="N31:R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47"/>
  <sheetViews>
    <sheetView workbookViewId="0">
      <selection activeCell="K14" sqref="K14"/>
    </sheetView>
  </sheetViews>
  <sheetFormatPr defaultRowHeight="14.4" x14ac:dyDescent="0.55000000000000004"/>
  <cols>
    <col min="2" max="2" width="12" bestFit="1" customWidth="1"/>
    <col min="3" max="3" width="14.3125" bestFit="1" customWidth="1"/>
    <col min="5" max="5" width="19.89453125" bestFit="1" customWidth="1"/>
    <col min="8" max="8" width="12" bestFit="1" customWidth="1"/>
    <col min="9" max="9" width="14.3125" bestFit="1" customWidth="1"/>
    <col min="10" max="10" width="8" bestFit="1" customWidth="1"/>
    <col min="11" max="11" width="20.5234375" bestFit="1" customWidth="1"/>
    <col min="12" max="12" width="20.5234375" customWidth="1"/>
    <col min="15" max="15" width="12" bestFit="1" customWidth="1"/>
    <col min="16" max="16" width="14.3125" bestFit="1" customWidth="1"/>
    <col min="17" max="17" width="8" bestFit="1" customWidth="1"/>
    <col min="18" max="18" width="20.5234375" bestFit="1" customWidth="1"/>
    <col min="19" max="19" width="17.68359375" bestFit="1" customWidth="1"/>
  </cols>
  <sheetData>
    <row r="1" spans="1:19" ht="15" customHeight="1" x14ac:dyDescent="0.55000000000000004"/>
    <row r="2" spans="1:19" s="3" customFormat="1" x14ac:dyDescent="0.55000000000000004">
      <c r="A2" s="3" t="s">
        <v>24</v>
      </c>
    </row>
    <row r="3" spans="1:19" ht="15" customHeight="1" x14ac:dyDescent="0.55000000000000004"/>
    <row r="4" spans="1:19" x14ac:dyDescent="0.55000000000000004">
      <c r="A4" s="11" t="s">
        <v>13</v>
      </c>
      <c r="B4" s="12"/>
      <c r="C4" s="12"/>
    </row>
    <row r="5" spans="1:19" x14ac:dyDescent="0.55000000000000004">
      <c r="G5" s="14" t="s">
        <v>25</v>
      </c>
      <c r="H5" s="14"/>
      <c r="I5" s="14"/>
      <c r="J5" s="14"/>
      <c r="K5" s="14"/>
      <c r="L5" s="5"/>
      <c r="N5" s="14" t="s">
        <v>26</v>
      </c>
      <c r="O5" s="14"/>
      <c r="P5" s="14"/>
      <c r="Q5" s="14"/>
      <c r="R5" s="14"/>
    </row>
    <row r="6" spans="1:19" x14ac:dyDescent="0.55000000000000004">
      <c r="A6" t="s">
        <v>7</v>
      </c>
      <c r="B6" t="s">
        <v>8</v>
      </c>
      <c r="C6" t="s">
        <v>9</v>
      </c>
      <c r="D6" t="s">
        <v>10</v>
      </c>
      <c r="E6" s="4" t="s">
        <v>11</v>
      </c>
      <c r="G6" t="s">
        <v>7</v>
      </c>
      <c r="H6" t="s">
        <v>8</v>
      </c>
      <c r="I6" t="s">
        <v>9</v>
      </c>
      <c r="J6" t="s">
        <v>10</v>
      </c>
      <c r="K6" s="4" t="s">
        <v>11</v>
      </c>
      <c r="L6" s="4" t="s">
        <v>18</v>
      </c>
      <c r="N6" t="s">
        <v>7</v>
      </c>
      <c r="O6" t="s">
        <v>8</v>
      </c>
      <c r="P6" t="s">
        <v>9</v>
      </c>
      <c r="Q6" t="s">
        <v>10</v>
      </c>
      <c r="R6" s="4" t="s">
        <v>11</v>
      </c>
      <c r="S6" s="4" t="s">
        <v>18</v>
      </c>
    </row>
    <row r="7" spans="1:19" x14ac:dyDescent="0.55000000000000004">
      <c r="A7">
        <v>0</v>
      </c>
      <c r="B7">
        <v>0</v>
      </c>
      <c r="C7">
        <v>5.4999999999999997E-3</v>
      </c>
      <c r="D7">
        <v>0.5</v>
      </c>
      <c r="E7" s="13">
        <f t="shared" ref="E7:E15" ca="1" si="0">GetReceiverSwapNPV(ois_zero_rates, euribor_zero_rates, A7,B7,C7,D7)</f>
        <v>-5.1624738262034953E-8</v>
      </c>
      <c r="G7">
        <v>-1E-3</v>
      </c>
      <c r="H7">
        <v>0</v>
      </c>
      <c r="I7">
        <v>5.4999999999999997E-3</v>
      </c>
      <c r="J7">
        <v>0.5</v>
      </c>
      <c r="K7" s="13">
        <f t="shared" ref="K7:K15" ca="1" si="1">GetReceiverSwapNPV(ois_zero_rates, euribor_zero_rates, G7,H7,I7,J7)</f>
        <v>-5.165202310308814E-8</v>
      </c>
      <c r="L7" s="13">
        <f ca="1">K7-E7</f>
        <v>-2.7284841053187847E-11</v>
      </c>
      <c r="N7">
        <v>0</v>
      </c>
      <c r="O7">
        <v>1E-3</v>
      </c>
      <c r="P7">
        <v>5.4999999999999997E-3</v>
      </c>
      <c r="Q7">
        <v>0.5</v>
      </c>
      <c r="R7" s="13">
        <f t="shared" ref="R7:R15" ca="1" si="2">GetReceiverSwapNPV(ois_zero_rates, euribor_zero_rates, N7,O7,P7,Q7)</f>
        <v>-5.0212802983805886</v>
      </c>
      <c r="S7" s="13">
        <f ca="1">R7-E7</f>
        <v>-5.0212802467558504</v>
      </c>
    </row>
    <row r="8" spans="1:19" x14ac:dyDescent="0.55000000000000004">
      <c r="A8">
        <v>0</v>
      </c>
      <c r="B8">
        <v>0</v>
      </c>
      <c r="C8">
        <v>7.0000000000000001E-3</v>
      </c>
      <c r="D8">
        <v>1</v>
      </c>
      <c r="E8" s="13">
        <f t="shared" ca="1" si="0"/>
        <v>3.637978807091713E-12</v>
      </c>
      <c r="G8">
        <v>-1E-3</v>
      </c>
      <c r="H8">
        <v>0</v>
      </c>
      <c r="I8">
        <v>7.0000000000000001E-3</v>
      </c>
      <c r="J8">
        <v>1</v>
      </c>
      <c r="K8" s="13">
        <f t="shared" ca="1" si="1"/>
        <v>-3.7575104543066118E-3</v>
      </c>
      <c r="L8" s="13">
        <f t="shared" ref="L8:L15" ca="1" si="3">K8-E8</f>
        <v>-3.7575104579445906E-3</v>
      </c>
      <c r="N8">
        <v>0</v>
      </c>
      <c r="O8">
        <v>1E-3</v>
      </c>
      <c r="P8">
        <v>7.0000000000000001E-3</v>
      </c>
      <c r="Q8">
        <v>1</v>
      </c>
      <c r="R8" s="13">
        <f t="shared" ca="1" si="2"/>
        <v>-10.050071757794285</v>
      </c>
      <c r="S8" s="13">
        <f t="shared" ref="S8:S15" ca="1" si="4">R8-E8</f>
        <v>-10.050071757797923</v>
      </c>
    </row>
    <row r="9" spans="1:19" x14ac:dyDescent="0.55000000000000004">
      <c r="A9">
        <v>0</v>
      </c>
      <c r="B9">
        <v>0</v>
      </c>
      <c r="C9">
        <v>1.2500000000000001E-2</v>
      </c>
      <c r="D9">
        <v>2</v>
      </c>
      <c r="E9" s="13">
        <f t="shared" ca="1" si="0"/>
        <v>3.2741809263825417E-11</v>
      </c>
      <c r="G9">
        <v>-1E-3</v>
      </c>
      <c r="H9">
        <v>0</v>
      </c>
      <c r="I9">
        <v>1.2500000000000001E-2</v>
      </c>
      <c r="J9">
        <v>2</v>
      </c>
      <c r="K9" s="13">
        <f t="shared" ca="1" si="1"/>
        <v>-6.5801379691038164E-2</v>
      </c>
      <c r="L9" s="13">
        <f t="shared" ca="1" si="3"/>
        <v>-6.5801379723779974E-2</v>
      </c>
      <c r="N9">
        <v>0</v>
      </c>
      <c r="O9">
        <v>1E-3</v>
      </c>
      <c r="P9">
        <v>1.2500000000000001E-2</v>
      </c>
      <c r="Q9">
        <v>2</v>
      </c>
      <c r="R9" s="13">
        <f t="shared" ca="1" si="2"/>
        <v>-20.146407579672086</v>
      </c>
      <c r="S9" s="13">
        <f t="shared" ca="1" si="4"/>
        <v>-20.146407579704828</v>
      </c>
    </row>
    <row r="10" spans="1:19" x14ac:dyDescent="0.55000000000000004">
      <c r="A10">
        <v>0</v>
      </c>
      <c r="B10">
        <v>0</v>
      </c>
      <c r="C10">
        <v>1.6500000000000001E-2</v>
      </c>
      <c r="D10">
        <v>3</v>
      </c>
      <c r="E10" s="13">
        <f t="shared" ca="1" si="0"/>
        <v>9.0039975475519896E-10</v>
      </c>
      <c r="G10">
        <v>-1E-3</v>
      </c>
      <c r="H10">
        <v>0</v>
      </c>
      <c r="I10">
        <v>1.6500000000000001E-2</v>
      </c>
      <c r="J10">
        <v>3</v>
      </c>
      <c r="K10" s="13">
        <f t="shared" ca="1" si="1"/>
        <v>-0.19115970231905521</v>
      </c>
      <c r="L10" s="13">
        <f t="shared" ca="1" si="3"/>
        <v>-0.19115970321945497</v>
      </c>
      <c r="N10">
        <v>0</v>
      </c>
      <c r="O10">
        <v>1E-3</v>
      </c>
      <c r="P10">
        <v>1.6500000000000001E-2</v>
      </c>
      <c r="Q10">
        <v>3</v>
      </c>
      <c r="R10" s="13">
        <f t="shared" ca="1" si="2"/>
        <v>-30.245754329829651</v>
      </c>
      <c r="S10" s="13">
        <f t="shared" ca="1" si="4"/>
        <v>-30.245754330730051</v>
      </c>
    </row>
    <row r="11" spans="1:19" x14ac:dyDescent="0.55000000000000004">
      <c r="A11">
        <v>0</v>
      </c>
      <c r="B11">
        <v>0</v>
      </c>
      <c r="C11">
        <v>1.7250000000000001E-2</v>
      </c>
      <c r="D11">
        <v>5</v>
      </c>
      <c r="E11" s="13">
        <f t="shared" ca="1" si="0"/>
        <v>4.9112713895738125E-10</v>
      </c>
      <c r="G11">
        <v>-1E-3</v>
      </c>
      <c r="H11">
        <v>0</v>
      </c>
      <c r="I11">
        <v>1.7250000000000001E-2</v>
      </c>
      <c r="J11">
        <v>5</v>
      </c>
      <c r="K11" s="13">
        <f t="shared" ca="1" si="1"/>
        <v>-0.25225470566510921</v>
      </c>
      <c r="L11" s="13">
        <f t="shared" ca="1" si="3"/>
        <v>-0.25225470615623635</v>
      </c>
      <c r="N11">
        <v>0</v>
      </c>
      <c r="O11">
        <v>1E-3</v>
      </c>
      <c r="P11">
        <v>1.7250000000000001E-2</v>
      </c>
      <c r="Q11">
        <v>5</v>
      </c>
      <c r="R11" s="13">
        <f t="shared" ca="1" si="2"/>
        <v>-50.25829716190492</v>
      </c>
      <c r="S11" s="13">
        <f t="shared" ca="1" si="4"/>
        <v>-50.258297162396047</v>
      </c>
    </row>
    <row r="12" spans="1:19" x14ac:dyDescent="0.55000000000000004">
      <c r="A12">
        <v>0</v>
      </c>
      <c r="B12">
        <v>0</v>
      </c>
      <c r="C12">
        <v>2.2499999999999999E-2</v>
      </c>
      <c r="D12">
        <v>7</v>
      </c>
      <c r="E12" s="13">
        <f t="shared" ca="1" si="0"/>
        <v>5.5842974688857794E-9</v>
      </c>
      <c r="G12">
        <v>-1E-3</v>
      </c>
      <c r="H12">
        <v>0</v>
      </c>
      <c r="I12">
        <v>2.2499999999999999E-2</v>
      </c>
      <c r="J12">
        <v>7</v>
      </c>
      <c r="K12" s="13">
        <f t="shared" ca="1" si="1"/>
        <v>-1.2042359348597529</v>
      </c>
      <c r="L12" s="13">
        <f t="shared" ca="1" si="3"/>
        <v>-1.2042359404440504</v>
      </c>
      <c r="N12">
        <v>0</v>
      </c>
      <c r="O12">
        <v>1E-3</v>
      </c>
      <c r="P12">
        <v>2.2499999999999999E-2</v>
      </c>
      <c r="Q12">
        <v>7</v>
      </c>
      <c r="R12" s="13">
        <f t="shared" ca="1" si="2"/>
        <v>-69.898059094828568</v>
      </c>
      <c r="S12" s="13">
        <f t="shared" ca="1" si="4"/>
        <v>-69.898059100412866</v>
      </c>
    </row>
    <row r="13" spans="1:19" x14ac:dyDescent="0.55000000000000004">
      <c r="A13">
        <v>0</v>
      </c>
      <c r="B13">
        <v>0</v>
      </c>
      <c r="C13">
        <v>3.2500000000000001E-2</v>
      </c>
      <c r="D13">
        <v>10</v>
      </c>
      <c r="E13" s="13">
        <f t="shared" ca="1" si="0"/>
        <v>1.7153070075437427E-9</v>
      </c>
      <c r="G13">
        <v>-1E-3</v>
      </c>
      <c r="H13">
        <v>0</v>
      </c>
      <c r="I13">
        <v>3.2500000000000001E-2</v>
      </c>
      <c r="J13">
        <v>10</v>
      </c>
      <c r="K13" s="13">
        <f ca="1">GetReceiverSwapNPV(ois_zero_rates, euribor_zero_rates, G13,H13,I13,J13)</f>
        <v>-4.8354308945272351</v>
      </c>
      <c r="L13" s="13">
        <f t="shared" ca="1" si="3"/>
        <v>-4.8354308962425421</v>
      </c>
      <c r="N13">
        <v>0</v>
      </c>
      <c r="O13">
        <v>1E-3</v>
      </c>
      <c r="P13">
        <v>3.2500000000000001E-2</v>
      </c>
      <c r="Q13">
        <v>10</v>
      </c>
      <c r="R13" s="13">
        <f t="shared" ca="1" si="2"/>
        <v>-98.388444169919239</v>
      </c>
      <c r="S13" s="13">
        <f t="shared" ca="1" si="4"/>
        <v>-98.388444171634546</v>
      </c>
    </row>
    <row r="14" spans="1:19" x14ac:dyDescent="0.55000000000000004">
      <c r="A14">
        <v>0</v>
      </c>
      <c r="B14">
        <v>0</v>
      </c>
      <c r="C14">
        <v>0.04</v>
      </c>
      <c r="D14">
        <v>20</v>
      </c>
      <c r="E14" s="13">
        <f t="shared" ca="1" si="0"/>
        <v>7.2759576141834259E-12</v>
      </c>
      <c r="G14">
        <v>-1E-3</v>
      </c>
      <c r="H14">
        <v>0</v>
      </c>
      <c r="I14">
        <v>0.04</v>
      </c>
      <c r="J14">
        <v>20</v>
      </c>
      <c r="K14" s="13">
        <f t="shared" ca="1" si="1"/>
        <v>-13.208058471145705</v>
      </c>
      <c r="L14" s="13">
        <f t="shared" ca="1" si="3"/>
        <v>-13.208058471152981</v>
      </c>
      <c r="N14">
        <v>0</v>
      </c>
      <c r="O14">
        <v>1E-3</v>
      </c>
      <c r="P14">
        <v>0.04</v>
      </c>
      <c r="Q14">
        <v>20</v>
      </c>
      <c r="R14" s="13">
        <f t="shared" ca="1" si="2"/>
        <v>-181.67185659813003</v>
      </c>
      <c r="S14" s="13">
        <f t="shared" ca="1" si="4"/>
        <v>-181.67185659813731</v>
      </c>
    </row>
    <row r="15" spans="1:19" x14ac:dyDescent="0.55000000000000004">
      <c r="A15">
        <v>0</v>
      </c>
      <c r="B15">
        <v>0</v>
      </c>
      <c r="C15">
        <v>4.4999999999999998E-2</v>
      </c>
      <c r="D15">
        <v>30</v>
      </c>
      <c r="E15" s="13">
        <f t="shared" ca="1" si="0"/>
        <v>-5.4569682106375694E-12</v>
      </c>
      <c r="G15">
        <v>-1E-3</v>
      </c>
      <c r="H15">
        <v>0</v>
      </c>
      <c r="I15">
        <v>4.4999999999999998E-2</v>
      </c>
      <c r="J15">
        <v>30</v>
      </c>
      <c r="K15" s="13">
        <f t="shared" ca="1" si="1"/>
        <v>-27.691856233101134</v>
      </c>
      <c r="L15" s="13">
        <f t="shared" ca="1" si="3"/>
        <v>-27.691856233095677</v>
      </c>
      <c r="N15">
        <v>0</v>
      </c>
      <c r="O15">
        <v>1E-3</v>
      </c>
      <c r="P15">
        <v>4.4999999999999998E-2</v>
      </c>
      <c r="Q15">
        <v>30</v>
      </c>
      <c r="R15" s="13">
        <f t="shared" ca="1" si="2"/>
        <v>-244.55885932548699</v>
      </c>
      <c r="S15" s="13">
        <f t="shared" ca="1" si="4"/>
        <v>-244.55885932548154</v>
      </c>
    </row>
    <row r="17" spans="1:19" x14ac:dyDescent="0.55000000000000004">
      <c r="A17" s="11" t="s">
        <v>16</v>
      </c>
      <c r="B17" s="12"/>
      <c r="C17" s="12"/>
      <c r="D17" s="12"/>
    </row>
    <row r="18" spans="1:19" x14ac:dyDescent="0.55000000000000004">
      <c r="G18" s="14" t="s">
        <v>25</v>
      </c>
      <c r="H18" s="14"/>
      <c r="I18" s="14"/>
      <c r="J18" s="14"/>
      <c r="K18" s="14"/>
      <c r="L18" s="5"/>
      <c r="N18" s="14" t="s">
        <v>26</v>
      </c>
      <c r="O18" s="14"/>
      <c r="P18" s="14"/>
      <c r="Q18" s="14"/>
      <c r="R18" s="14"/>
    </row>
    <row r="19" spans="1:19" x14ac:dyDescent="0.55000000000000004">
      <c r="A19" t="s">
        <v>7</v>
      </c>
      <c r="B19" t="s">
        <v>8</v>
      </c>
      <c r="C19" t="s">
        <v>9</v>
      </c>
      <c r="D19" t="s">
        <v>10</v>
      </c>
      <c r="E19" s="4" t="s">
        <v>11</v>
      </c>
      <c r="G19" t="s">
        <v>7</v>
      </c>
      <c r="H19" t="s">
        <v>8</v>
      </c>
      <c r="I19" t="s">
        <v>9</v>
      </c>
      <c r="J19" t="s">
        <v>10</v>
      </c>
      <c r="K19" s="4" t="s">
        <v>11</v>
      </c>
      <c r="L19" s="4" t="s">
        <v>18</v>
      </c>
      <c r="N19" t="s">
        <v>7</v>
      </c>
      <c r="O19" t="s">
        <v>8</v>
      </c>
      <c r="P19" t="s">
        <v>9</v>
      </c>
      <c r="Q19" t="s">
        <v>10</v>
      </c>
      <c r="R19" s="4" t="s">
        <v>11</v>
      </c>
      <c r="S19" s="4" t="s">
        <v>18</v>
      </c>
    </row>
    <row r="20" spans="1:19" x14ac:dyDescent="0.55000000000000004">
      <c r="A20">
        <v>0</v>
      </c>
      <c r="B20">
        <v>0</v>
      </c>
      <c r="C20">
        <f ca="1">C7-0.001</f>
        <v>4.4999999999999997E-3</v>
      </c>
      <c r="D20">
        <v>0.5</v>
      </c>
      <c r="E20" s="13">
        <f t="shared" ref="E20:E28" ca="1" si="5">GetReceiverSwapNPV(ois_zero_rates, euribor_zero_rates, A20,B20,C20,D20)</f>
        <v>-5.0062578738943557</v>
      </c>
      <c r="G20">
        <v>-1E-3</v>
      </c>
      <c r="H20">
        <v>0</v>
      </c>
      <c r="I20">
        <f ca="1">C20</f>
        <v>4.4999999999999997E-3</v>
      </c>
      <c r="J20">
        <f ca="1">D20</f>
        <v>0.5</v>
      </c>
      <c r="K20" s="13">
        <f t="shared" ref="K20:K28" ca="1" si="6">GetReceiverSwapNPV(ois_zero_rates, euribor_zero_rates, G20,H20,I20,J20)</f>
        <v>-5.0087616287182755</v>
      </c>
      <c r="L20" s="13">
        <f ca="1">K20-E20</f>
        <v>-2.5037548239197349E-3</v>
      </c>
      <c r="N20">
        <v>0</v>
      </c>
      <c r="O20">
        <v>1E-3</v>
      </c>
      <c r="P20">
        <f ca="1">C20</f>
        <v>4.4999999999999997E-3</v>
      </c>
      <c r="Q20">
        <f ca="1">D20</f>
        <v>0.5</v>
      </c>
      <c r="R20" s="13">
        <f t="shared" ref="R20:R28" ca="1" si="7">GetReceiverSwapNPV(ois_zero_rates, euribor_zero_rates, N20,O20,P20,Q20)</f>
        <v>-10.027538120650206</v>
      </c>
      <c r="S20" s="13">
        <f ca="1">R20-E20</f>
        <v>-5.0212802467558504</v>
      </c>
    </row>
    <row r="21" spans="1:19" x14ac:dyDescent="0.55000000000000004">
      <c r="A21">
        <v>0</v>
      </c>
      <c r="B21">
        <v>0</v>
      </c>
      <c r="C21">
        <f t="shared" ref="C21:C28" ca="1" si="8">C8-0.001</f>
        <v>6.0000000000000001E-3</v>
      </c>
      <c r="D21">
        <v>1</v>
      </c>
      <c r="E21" s="13">
        <f t="shared" ca="1" si="5"/>
        <v>-10.012515644473751</v>
      </c>
      <c r="G21">
        <v>-1E-3</v>
      </c>
      <c r="H21">
        <v>0</v>
      </c>
      <c r="I21">
        <f t="shared" ref="I21:J28" ca="1" si="9">C21</f>
        <v>6.0000000000000001E-3</v>
      </c>
      <c r="J21">
        <f t="shared" ca="1" si="9"/>
        <v>1</v>
      </c>
      <c r="K21" s="13">
        <f t="shared" ca="1" si="6"/>
        <v>-10.023785671517544</v>
      </c>
      <c r="L21" s="13">
        <f t="shared" ref="L21:L28" ca="1" si="10">K21-E21</f>
        <v>-1.1270027043792652E-2</v>
      </c>
      <c r="N21">
        <v>0</v>
      </c>
      <c r="O21">
        <v>1E-3</v>
      </c>
      <c r="P21">
        <f t="shared" ref="P21:Q28" ca="1" si="11">C21</f>
        <v>6.0000000000000001E-3</v>
      </c>
      <c r="Q21">
        <f t="shared" ca="1" si="11"/>
        <v>1</v>
      </c>
      <c r="R21" s="13">
        <f t="shared" ca="1" si="7"/>
        <v>-20.062587402271674</v>
      </c>
      <c r="S21" s="13">
        <f t="shared" ref="S21:S28" ca="1" si="12">R21-E21</f>
        <v>-10.050071757797923</v>
      </c>
    </row>
    <row r="22" spans="1:19" x14ac:dyDescent="0.55000000000000004">
      <c r="A22">
        <v>0</v>
      </c>
      <c r="B22">
        <v>0</v>
      </c>
      <c r="C22">
        <f t="shared" ca="1" si="8"/>
        <v>1.15E-2</v>
      </c>
      <c r="D22">
        <v>2</v>
      </c>
      <c r="E22" s="13">
        <f t="shared" ca="1" si="5"/>
        <v>-20.016269711793939</v>
      </c>
      <c r="G22">
        <v>-1E-3</v>
      </c>
      <c r="H22">
        <v>0</v>
      </c>
      <c r="I22">
        <f t="shared" ca="1" si="9"/>
        <v>1.15E-2</v>
      </c>
      <c r="J22">
        <f t="shared" ca="1" si="9"/>
        <v>2</v>
      </c>
      <c r="K22" s="13">
        <f t="shared" ca="1" si="6"/>
        <v>-20.107104877912207</v>
      </c>
      <c r="L22" s="13">
        <f t="shared" ca="1" si="10"/>
        <v>-9.0835166118267807E-2</v>
      </c>
      <c r="N22">
        <v>0</v>
      </c>
      <c r="O22">
        <v>1E-3</v>
      </c>
      <c r="P22">
        <f t="shared" ca="1" si="11"/>
        <v>1.15E-2</v>
      </c>
      <c r="Q22">
        <f t="shared" ca="1" si="11"/>
        <v>2</v>
      </c>
      <c r="R22" s="13">
        <f t="shared" ca="1" si="7"/>
        <v>-40.162677291498767</v>
      </c>
      <c r="S22" s="13">
        <f t="shared" ca="1" si="12"/>
        <v>-20.146407579704828</v>
      </c>
    </row>
    <row r="23" spans="1:19" x14ac:dyDescent="0.55000000000000004">
      <c r="A23">
        <v>0</v>
      </c>
      <c r="B23">
        <v>0</v>
      </c>
      <c r="C23">
        <f t="shared" ca="1" si="8"/>
        <v>1.55E-2</v>
      </c>
      <c r="D23">
        <v>3</v>
      </c>
      <c r="E23" s="13">
        <f t="shared" ca="1" si="5"/>
        <v>-29.99076967156725</v>
      </c>
      <c r="G23">
        <v>-1E-3</v>
      </c>
      <c r="H23">
        <v>0</v>
      </c>
      <c r="I23">
        <f t="shared" ca="1" si="9"/>
        <v>1.55E-2</v>
      </c>
      <c r="J23">
        <f t="shared" ca="1" si="9"/>
        <v>3</v>
      </c>
      <c r="K23" s="13">
        <f t="shared" ca="1" si="6"/>
        <v>-30.234428469866543</v>
      </c>
      <c r="L23" s="13">
        <f t="shared" ca="1" si="10"/>
        <v>-0.24365879829929327</v>
      </c>
      <c r="N23">
        <v>0</v>
      </c>
      <c r="O23">
        <v>1E-3</v>
      </c>
      <c r="P23">
        <f t="shared" ca="1" si="11"/>
        <v>1.55E-2</v>
      </c>
      <c r="Q23">
        <f t="shared" ca="1" si="11"/>
        <v>3</v>
      </c>
      <c r="R23" s="13">
        <f t="shared" ca="1" si="7"/>
        <v>-60.236524002297301</v>
      </c>
      <c r="S23" s="13">
        <f t="shared" ca="1" si="12"/>
        <v>-30.245754330730051</v>
      </c>
    </row>
    <row r="24" spans="1:19" x14ac:dyDescent="0.55000000000000004">
      <c r="A24">
        <v>0</v>
      </c>
      <c r="B24">
        <v>0</v>
      </c>
      <c r="C24">
        <f t="shared" ca="1" si="8"/>
        <v>1.6250000000000001E-2</v>
      </c>
      <c r="D24">
        <v>5</v>
      </c>
      <c r="E24" s="13">
        <f t="shared" ca="1" si="5"/>
        <v>-49.816070030643459</v>
      </c>
      <c r="G24">
        <v>-1E-3</v>
      </c>
      <c r="H24">
        <v>0</v>
      </c>
      <c r="I24">
        <f t="shared" ca="1" si="9"/>
        <v>1.6250000000000001E-2</v>
      </c>
      <c r="J24">
        <f t="shared" ca="1" si="9"/>
        <v>5</v>
      </c>
      <c r="K24" s="13">
        <f t="shared" ca="1" si="6"/>
        <v>-50.205233974225848</v>
      </c>
      <c r="L24" s="13">
        <f t="shared" ca="1" si="10"/>
        <v>-0.38916394358238904</v>
      </c>
      <c r="N24">
        <v>0</v>
      </c>
      <c r="O24">
        <v>1E-3</v>
      </c>
      <c r="P24">
        <f t="shared" ca="1" si="11"/>
        <v>1.6250000000000001E-2</v>
      </c>
      <c r="Q24">
        <f t="shared" ca="1" si="11"/>
        <v>5</v>
      </c>
      <c r="R24" s="13">
        <f t="shared" ca="1" si="7"/>
        <v>-100.07436719303951</v>
      </c>
      <c r="S24" s="13">
        <f t="shared" ca="1" si="12"/>
        <v>-50.258297162396047</v>
      </c>
    </row>
    <row r="25" spans="1:19" x14ac:dyDescent="0.55000000000000004">
      <c r="A25">
        <v>0</v>
      </c>
      <c r="B25">
        <v>0</v>
      </c>
      <c r="C25">
        <f t="shared" ca="1" si="8"/>
        <v>2.1499999999999998E-2</v>
      </c>
      <c r="D25">
        <v>7</v>
      </c>
      <c r="E25" s="13">
        <f t="shared" ca="1" si="5"/>
        <v>-69.103175313917745</v>
      </c>
      <c r="G25">
        <v>-1E-3</v>
      </c>
      <c r="H25">
        <v>0</v>
      </c>
      <c r="I25">
        <f t="shared" ca="1" si="9"/>
        <v>2.1499999999999998E-2</v>
      </c>
      <c r="J25">
        <f t="shared" ca="1" si="9"/>
        <v>7</v>
      </c>
      <c r="K25" s="13">
        <f t="shared" ca="1" si="6"/>
        <v>-70.565114380266095</v>
      </c>
      <c r="L25" s="13">
        <f t="shared" ca="1" si="10"/>
        <v>-1.46193906634835</v>
      </c>
      <c r="N25">
        <v>0</v>
      </c>
      <c r="O25">
        <v>1E-3</v>
      </c>
      <c r="P25">
        <f t="shared" ca="1" si="11"/>
        <v>2.1499999999999998E-2</v>
      </c>
      <c r="Q25">
        <f t="shared" ca="1" si="11"/>
        <v>7</v>
      </c>
      <c r="R25" s="13">
        <f t="shared" ca="1" si="7"/>
        <v>-139.00123441433061</v>
      </c>
      <c r="S25" s="13">
        <f t="shared" ca="1" si="12"/>
        <v>-69.898059100412866</v>
      </c>
    </row>
    <row r="26" spans="1:19" x14ac:dyDescent="0.55000000000000004">
      <c r="A26">
        <v>0</v>
      </c>
      <c r="B26">
        <v>0</v>
      </c>
      <c r="C26">
        <f t="shared" ca="1" si="8"/>
        <v>3.15E-2</v>
      </c>
      <c r="D26">
        <v>10</v>
      </c>
      <c r="E26" s="13">
        <f t="shared" ca="1" si="5"/>
        <v>-96.790995432824275</v>
      </c>
      <c r="G26">
        <v>-1E-3</v>
      </c>
      <c r="H26">
        <v>0</v>
      </c>
      <c r="I26">
        <f t="shared" ca="1" si="9"/>
        <v>3.15E-2</v>
      </c>
      <c r="J26">
        <f t="shared" ca="1" si="9"/>
        <v>10</v>
      </c>
      <c r="K26" s="13">
        <f t="shared" ca="1" si="6"/>
        <v>-102.12713268484367</v>
      </c>
      <c r="L26" s="13">
        <f t="shared" ca="1" si="10"/>
        <v>-5.3361372520193981</v>
      </c>
      <c r="N26">
        <v>0</v>
      </c>
      <c r="O26">
        <v>1E-3</v>
      </c>
      <c r="P26">
        <f t="shared" ca="1" si="11"/>
        <v>3.15E-2</v>
      </c>
      <c r="Q26">
        <f t="shared" ca="1" si="11"/>
        <v>10</v>
      </c>
      <c r="R26" s="13">
        <f t="shared" ca="1" si="7"/>
        <v>-195.17943960445882</v>
      </c>
      <c r="S26" s="13">
        <f t="shared" ca="1" si="12"/>
        <v>-98.388444171634546</v>
      </c>
    </row>
    <row r="27" spans="1:19" x14ac:dyDescent="0.55000000000000004">
      <c r="A27">
        <v>0</v>
      </c>
      <c r="B27">
        <v>0</v>
      </c>
      <c r="C27">
        <f t="shared" ca="1" si="8"/>
        <v>3.9E-2</v>
      </c>
      <c r="D27">
        <v>20</v>
      </c>
      <c r="E27" s="13">
        <f t="shared" ca="1" si="5"/>
        <v>-178.06513962628742</v>
      </c>
      <c r="G27">
        <v>-1E-3</v>
      </c>
      <c r="H27">
        <v>0</v>
      </c>
      <c r="I27">
        <f t="shared" ca="1" si="9"/>
        <v>3.9E-2</v>
      </c>
      <c r="J27">
        <f t="shared" ca="1" si="9"/>
        <v>20</v>
      </c>
      <c r="K27" s="13">
        <f t="shared" ca="1" si="6"/>
        <v>-193.00763705377176</v>
      </c>
      <c r="L27" s="13">
        <f t="shared" ca="1" si="10"/>
        <v>-14.942497427484341</v>
      </c>
      <c r="N27">
        <v>0</v>
      </c>
      <c r="O27">
        <v>1E-3</v>
      </c>
      <c r="P27">
        <f t="shared" ca="1" si="11"/>
        <v>3.9E-2</v>
      </c>
      <c r="Q27">
        <f t="shared" ca="1" si="11"/>
        <v>20</v>
      </c>
      <c r="R27" s="13">
        <f t="shared" ca="1" si="7"/>
        <v>-359.73699622442473</v>
      </c>
      <c r="S27" s="13">
        <f t="shared" ca="1" si="12"/>
        <v>-181.67185659813731</v>
      </c>
    </row>
    <row r="28" spans="1:19" x14ac:dyDescent="0.55000000000000004">
      <c r="A28">
        <v>0</v>
      </c>
      <c r="B28">
        <v>0</v>
      </c>
      <c r="C28">
        <f t="shared" ca="1" si="8"/>
        <v>4.3999999999999997E-2</v>
      </c>
      <c r="D28">
        <v>30</v>
      </c>
      <c r="E28" s="13">
        <f t="shared" ca="1" si="5"/>
        <v>-239.11757917421164</v>
      </c>
      <c r="G28">
        <v>-1E-3</v>
      </c>
      <c r="H28">
        <v>0</v>
      </c>
      <c r="I28">
        <f t="shared" ca="1" si="9"/>
        <v>4.3999999999999997E-2</v>
      </c>
      <c r="J28">
        <f t="shared" ca="1" si="9"/>
        <v>30</v>
      </c>
      <c r="K28" s="13">
        <f t="shared" ca="1" si="6"/>
        <v>-270.0872083274553</v>
      </c>
      <c r="L28" s="13">
        <f t="shared" ca="1" si="10"/>
        <v>-30.969629153243659</v>
      </c>
      <c r="N28">
        <v>0</v>
      </c>
      <c r="O28">
        <v>1E-3</v>
      </c>
      <c r="P28">
        <f t="shared" ca="1" si="11"/>
        <v>4.3999999999999997E-2</v>
      </c>
      <c r="Q28">
        <f t="shared" ca="1" si="11"/>
        <v>30</v>
      </c>
      <c r="R28" s="13">
        <f t="shared" ca="1" si="7"/>
        <v>-483.67643849969318</v>
      </c>
      <c r="S28" s="13">
        <f t="shared" ca="1" si="12"/>
        <v>-244.55885932548154</v>
      </c>
    </row>
    <row r="30" spans="1:19" x14ac:dyDescent="0.55000000000000004">
      <c r="A30" s="11" t="s">
        <v>17</v>
      </c>
      <c r="B30" s="11"/>
      <c r="C30" s="11"/>
      <c r="D30" s="12"/>
    </row>
    <row r="31" spans="1:19" x14ac:dyDescent="0.55000000000000004">
      <c r="G31" s="14" t="s">
        <v>25</v>
      </c>
      <c r="H31" s="14"/>
      <c r="I31" s="14"/>
      <c r="J31" s="14"/>
      <c r="K31" s="14"/>
      <c r="L31" s="5"/>
      <c r="N31" s="14" t="s">
        <v>26</v>
      </c>
      <c r="O31" s="14"/>
      <c r="P31" s="14"/>
      <c r="Q31" s="14"/>
      <c r="R31" s="14"/>
    </row>
    <row r="32" spans="1:19" x14ac:dyDescent="0.55000000000000004">
      <c r="A32" t="s">
        <v>7</v>
      </c>
      <c r="B32" t="s">
        <v>8</v>
      </c>
      <c r="C32" t="s">
        <v>9</v>
      </c>
      <c r="D32" t="s">
        <v>10</v>
      </c>
      <c r="E32" s="4" t="s">
        <v>11</v>
      </c>
      <c r="G32" t="s">
        <v>7</v>
      </c>
      <c r="H32" t="s">
        <v>8</v>
      </c>
      <c r="I32" t="s">
        <v>9</v>
      </c>
      <c r="J32" t="s">
        <v>10</v>
      </c>
      <c r="K32" s="4" t="s">
        <v>11</v>
      </c>
      <c r="L32" s="4" t="s">
        <v>18</v>
      </c>
      <c r="N32" t="s">
        <v>7</v>
      </c>
      <c r="O32" t="s">
        <v>8</v>
      </c>
      <c r="P32" t="s">
        <v>9</v>
      </c>
      <c r="Q32" t="s">
        <v>10</v>
      </c>
      <c r="R32" s="4" t="s">
        <v>11</v>
      </c>
      <c r="S32" s="4" t="s">
        <v>18</v>
      </c>
    </row>
    <row r="33" spans="1:19" x14ac:dyDescent="0.55000000000000004">
      <c r="A33">
        <v>0</v>
      </c>
      <c r="B33">
        <v>0</v>
      </c>
      <c r="C33">
        <f ca="1">C7+0.001</f>
        <v>6.4999999999999997E-3</v>
      </c>
      <c r="D33">
        <v>0.5</v>
      </c>
      <c r="E33" s="13">
        <f t="shared" ref="E33:E41" ca="1" si="13">GetReceiverSwapNPV(ois_zero_rates, euribor_zero_rates, A33,B33,C33,D33)</f>
        <v>5.0062577706448792</v>
      </c>
      <c r="G33">
        <v>-1E-3</v>
      </c>
      <c r="H33">
        <v>0</v>
      </c>
      <c r="I33">
        <f ca="1">C33</f>
        <v>6.4999999999999997E-3</v>
      </c>
      <c r="J33">
        <f ca="1">D33</f>
        <v>0.5</v>
      </c>
      <c r="K33" s="13">
        <f t="shared" ref="K33:K41" ca="1" si="14">GetReceiverSwapNPV(ois_zero_rates, euribor_zero_rates, G33,H33,I33,J33)</f>
        <v>5.0087615254142293</v>
      </c>
      <c r="L33" s="13">
        <f ca="1">K33-E33</f>
        <v>2.5037547693500528E-3</v>
      </c>
      <c r="N33">
        <v>0</v>
      </c>
      <c r="O33">
        <v>1E-3</v>
      </c>
      <c r="P33">
        <f ca="1">C33</f>
        <v>6.4999999999999997E-3</v>
      </c>
      <c r="Q33">
        <f ca="1">D33</f>
        <v>0.5</v>
      </c>
      <c r="R33" s="13">
        <f t="shared" ref="R33:R41" ca="1" si="15">GetReceiverSwapNPV(ois_zero_rates, euribor_zero_rates, N33,O33,P33,Q33)</f>
        <v>-1.5022476110971184E-2</v>
      </c>
      <c r="S33" s="13">
        <f ca="1">R33-E33</f>
        <v>-5.0212802467558504</v>
      </c>
    </row>
    <row r="34" spans="1:19" x14ac:dyDescent="0.55000000000000004">
      <c r="A34">
        <v>0</v>
      </c>
      <c r="B34">
        <v>0</v>
      </c>
      <c r="C34">
        <f t="shared" ref="C34:C41" ca="1" si="16">C8+0.001</f>
        <v>8.0000000000000002E-3</v>
      </c>
      <c r="D34">
        <v>1</v>
      </c>
      <c r="E34" s="13">
        <f t="shared" ca="1" si="13"/>
        <v>10.012515644482846</v>
      </c>
      <c r="G34">
        <v>-1E-3</v>
      </c>
      <c r="H34">
        <v>0</v>
      </c>
      <c r="I34">
        <f t="shared" ref="I34:J41" ca="1" si="17">C34</f>
        <v>8.0000000000000002E-3</v>
      </c>
      <c r="J34">
        <f t="shared" ca="1" si="17"/>
        <v>1</v>
      </c>
      <c r="K34" s="13">
        <f t="shared" ca="1" si="14"/>
        <v>10.016270650607112</v>
      </c>
      <c r="L34" s="13">
        <f t="shared" ref="L34:L41" ca="1" si="18">K34-E34</f>
        <v>3.755006124265492E-3</v>
      </c>
      <c r="N34">
        <v>0</v>
      </c>
      <c r="O34">
        <v>1E-3</v>
      </c>
      <c r="P34">
        <f t="shared" ref="P34:Q41" ca="1" si="19">C34</f>
        <v>8.0000000000000002E-3</v>
      </c>
      <c r="Q34">
        <f t="shared" ca="1" si="19"/>
        <v>1</v>
      </c>
      <c r="R34" s="13">
        <f t="shared" ca="1" si="15"/>
        <v>-3.75561133150768E-2</v>
      </c>
      <c r="S34" s="13">
        <f t="shared" ref="S34:S41" ca="1" si="20">R34-E34</f>
        <v>-10.050071757797923</v>
      </c>
    </row>
    <row r="35" spans="1:19" x14ac:dyDescent="0.55000000000000004">
      <c r="A35">
        <v>0</v>
      </c>
      <c r="B35">
        <v>0</v>
      </c>
      <c r="C35">
        <f t="shared" ca="1" si="16"/>
        <v>1.3500000000000002E-2</v>
      </c>
      <c r="D35">
        <v>2</v>
      </c>
      <c r="E35" s="13">
        <f t="shared" ca="1" si="13"/>
        <v>20.016269711861241</v>
      </c>
      <c r="G35">
        <v>-1E-3</v>
      </c>
      <c r="H35">
        <v>0</v>
      </c>
      <c r="I35">
        <f t="shared" ca="1" si="17"/>
        <v>1.3500000000000002E-2</v>
      </c>
      <c r="J35">
        <f t="shared" ca="1" si="17"/>
        <v>2</v>
      </c>
      <c r="K35" s="13">
        <f t="shared" ca="1" si="14"/>
        <v>19.97550211853013</v>
      </c>
      <c r="L35" s="13">
        <f t="shared" ca="1" si="18"/>
        <v>-4.0767593331111129E-2</v>
      </c>
      <c r="N35">
        <v>0</v>
      </c>
      <c r="O35">
        <v>1E-3</v>
      </c>
      <c r="P35">
        <f t="shared" ca="1" si="19"/>
        <v>1.3500000000000002E-2</v>
      </c>
      <c r="Q35">
        <f t="shared" ca="1" si="19"/>
        <v>2</v>
      </c>
      <c r="R35" s="13">
        <f t="shared" ca="1" si="15"/>
        <v>-0.13013786784358672</v>
      </c>
      <c r="S35" s="13">
        <f t="shared" ca="1" si="20"/>
        <v>-20.146407579704828</v>
      </c>
    </row>
    <row r="36" spans="1:19" x14ac:dyDescent="0.55000000000000004">
      <c r="A36">
        <v>0</v>
      </c>
      <c r="B36">
        <v>0</v>
      </c>
      <c r="C36">
        <f t="shared" ca="1" si="16"/>
        <v>1.7500000000000002E-2</v>
      </c>
      <c r="D36">
        <v>3</v>
      </c>
      <c r="E36" s="13">
        <f t="shared" ca="1" si="13"/>
        <v>29.99076967336805</v>
      </c>
      <c r="G36">
        <v>-1E-3</v>
      </c>
      <c r="H36">
        <v>0</v>
      </c>
      <c r="I36">
        <f t="shared" ca="1" si="17"/>
        <v>1.7500000000000002E-2</v>
      </c>
      <c r="J36">
        <f t="shared" ca="1" si="17"/>
        <v>3</v>
      </c>
      <c r="K36" s="13">
        <f t="shared" ca="1" si="14"/>
        <v>29.852109065226614</v>
      </c>
      <c r="L36" s="13">
        <f t="shared" ca="1" si="18"/>
        <v>-0.13866060814143566</v>
      </c>
      <c r="N36">
        <v>0</v>
      </c>
      <c r="O36">
        <v>1E-3</v>
      </c>
      <c r="P36">
        <f t="shared" ca="1" si="19"/>
        <v>1.7500000000000002E-2</v>
      </c>
      <c r="Q36">
        <f t="shared" ca="1" si="19"/>
        <v>3</v>
      </c>
      <c r="R36" s="13">
        <f t="shared" ca="1" si="15"/>
        <v>-0.2549846573620016</v>
      </c>
      <c r="S36" s="13">
        <f t="shared" ca="1" si="20"/>
        <v>-30.245754330730051</v>
      </c>
    </row>
    <row r="37" spans="1:19" x14ac:dyDescent="0.55000000000000004">
      <c r="A37">
        <v>0</v>
      </c>
      <c r="B37">
        <v>0</v>
      </c>
      <c r="C37">
        <f t="shared" ca="1" si="16"/>
        <v>1.8250000000000002E-2</v>
      </c>
      <c r="D37">
        <v>5</v>
      </c>
      <c r="E37" s="13">
        <f t="shared" ca="1" si="13"/>
        <v>49.816070031625713</v>
      </c>
      <c r="G37">
        <v>-1E-3</v>
      </c>
      <c r="H37">
        <v>0</v>
      </c>
      <c r="I37">
        <f t="shared" ca="1" si="17"/>
        <v>1.8250000000000002E-2</v>
      </c>
      <c r="J37">
        <f t="shared" ca="1" si="17"/>
        <v>5</v>
      </c>
      <c r="K37" s="13">
        <f t="shared" ca="1" si="14"/>
        <v>49.70072456289563</v>
      </c>
      <c r="L37" s="13">
        <f t="shared" ca="1" si="18"/>
        <v>-0.11534546873008367</v>
      </c>
      <c r="N37">
        <v>0</v>
      </c>
      <c r="O37">
        <v>1E-3</v>
      </c>
      <c r="P37">
        <f t="shared" ca="1" si="19"/>
        <v>1.8250000000000002E-2</v>
      </c>
      <c r="Q37">
        <f t="shared" ca="1" si="19"/>
        <v>5</v>
      </c>
      <c r="R37" s="13">
        <f t="shared" ca="1" si="15"/>
        <v>-0.44222713077033404</v>
      </c>
      <c r="S37" s="13">
        <f t="shared" ca="1" si="20"/>
        <v>-50.258297162396047</v>
      </c>
    </row>
    <row r="38" spans="1:19" x14ac:dyDescent="0.55000000000000004">
      <c r="A38">
        <v>0</v>
      </c>
      <c r="B38">
        <v>0</v>
      </c>
      <c r="C38">
        <f t="shared" ca="1" si="16"/>
        <v>2.35E-2</v>
      </c>
      <c r="D38">
        <v>7</v>
      </c>
      <c r="E38" s="13">
        <f t="shared" ca="1" si="13"/>
        <v>69.103175325089978</v>
      </c>
      <c r="G38">
        <v>-1E-3</v>
      </c>
      <c r="H38">
        <v>0</v>
      </c>
      <c r="I38">
        <f t="shared" ca="1" si="17"/>
        <v>2.35E-2</v>
      </c>
      <c r="J38">
        <f t="shared" ca="1" si="17"/>
        <v>7</v>
      </c>
      <c r="K38" s="13">
        <f t="shared" ca="1" si="14"/>
        <v>68.156642510542952</v>
      </c>
      <c r="L38" s="13">
        <f t="shared" ca="1" si="18"/>
        <v>-0.94653281454702665</v>
      </c>
      <c r="N38">
        <v>0</v>
      </c>
      <c r="O38">
        <v>1E-3</v>
      </c>
      <c r="P38">
        <f t="shared" ca="1" si="19"/>
        <v>2.35E-2</v>
      </c>
      <c r="Q38">
        <f t="shared" ca="1" si="19"/>
        <v>7</v>
      </c>
      <c r="R38" s="13">
        <f t="shared" ca="1" si="15"/>
        <v>-0.79488377532288723</v>
      </c>
      <c r="S38" s="13">
        <f t="shared" ca="1" si="20"/>
        <v>-69.898059100412866</v>
      </c>
    </row>
    <row r="39" spans="1:19" x14ac:dyDescent="0.55000000000000004">
      <c r="A39">
        <v>0</v>
      </c>
      <c r="B39">
        <v>0</v>
      </c>
      <c r="C39">
        <f t="shared" ca="1" si="16"/>
        <v>3.3500000000000002E-2</v>
      </c>
      <c r="D39">
        <v>10</v>
      </c>
      <c r="E39" s="13">
        <f t="shared" ca="1" si="13"/>
        <v>96.790995436254889</v>
      </c>
      <c r="G39">
        <v>-1E-3</v>
      </c>
      <c r="H39">
        <v>0</v>
      </c>
      <c r="I39">
        <f t="shared" ca="1" si="17"/>
        <v>3.3500000000000002E-2</v>
      </c>
      <c r="J39">
        <f t="shared" ca="1" si="17"/>
        <v>10</v>
      </c>
      <c r="K39" s="13">
        <f t="shared" ca="1" si="14"/>
        <v>92.456270895791022</v>
      </c>
      <c r="L39" s="13">
        <f t="shared" ca="1" si="18"/>
        <v>-4.334724540463867</v>
      </c>
      <c r="N39">
        <v>0</v>
      </c>
      <c r="O39">
        <v>1E-3</v>
      </c>
      <c r="P39">
        <f t="shared" ca="1" si="19"/>
        <v>3.3500000000000002E-2</v>
      </c>
      <c r="Q39">
        <f t="shared" ca="1" si="19"/>
        <v>10</v>
      </c>
      <c r="R39" s="13">
        <f t="shared" ca="1" si="15"/>
        <v>-1.5974487353796576</v>
      </c>
      <c r="S39" s="13">
        <f t="shared" ca="1" si="20"/>
        <v>-98.388444171634546</v>
      </c>
    </row>
    <row r="40" spans="1:19" x14ac:dyDescent="0.55000000000000004">
      <c r="A40">
        <v>0</v>
      </c>
      <c r="B40">
        <v>0</v>
      </c>
      <c r="C40">
        <f t="shared" ca="1" si="16"/>
        <v>4.1000000000000002E-2</v>
      </c>
      <c r="D40">
        <v>20</v>
      </c>
      <c r="E40" s="13">
        <f t="shared" ca="1" si="13"/>
        <v>178.06513962629651</v>
      </c>
      <c r="G40">
        <v>-1E-3</v>
      </c>
      <c r="H40">
        <v>0</v>
      </c>
      <c r="I40">
        <f t="shared" ca="1" si="17"/>
        <v>4.1000000000000002E-2</v>
      </c>
      <c r="J40">
        <f t="shared" ca="1" si="17"/>
        <v>20</v>
      </c>
      <c r="K40" s="13">
        <f t="shared" ca="1" si="14"/>
        <v>166.59152011147853</v>
      </c>
      <c r="L40" s="13">
        <f t="shared" ca="1" si="18"/>
        <v>-11.473619514817983</v>
      </c>
      <c r="N40">
        <v>0</v>
      </c>
      <c r="O40">
        <v>1E-3</v>
      </c>
      <c r="P40">
        <f t="shared" ca="1" si="19"/>
        <v>4.1000000000000002E-2</v>
      </c>
      <c r="Q40">
        <f t="shared" ca="1" si="19"/>
        <v>20</v>
      </c>
      <c r="R40" s="13">
        <f t="shared" ca="1" si="15"/>
        <v>-3.6067169718407968</v>
      </c>
      <c r="S40" s="13">
        <f t="shared" ca="1" si="20"/>
        <v>-181.67185659813731</v>
      </c>
    </row>
    <row r="41" spans="1:19" x14ac:dyDescent="0.55000000000000004">
      <c r="A41">
        <v>0</v>
      </c>
      <c r="B41">
        <v>0</v>
      </c>
      <c r="C41">
        <f t="shared" ca="1" si="16"/>
        <v>4.5999999999999999E-2</v>
      </c>
      <c r="D41">
        <v>30</v>
      </c>
      <c r="E41" s="13">
        <f t="shared" ca="1" si="13"/>
        <v>239.11757917420437</v>
      </c>
      <c r="G41">
        <v>-1E-3</v>
      </c>
      <c r="H41">
        <v>0</v>
      </c>
      <c r="I41">
        <f t="shared" ca="1" si="17"/>
        <v>4.5999999999999999E-2</v>
      </c>
      <c r="J41">
        <f t="shared" ca="1" si="17"/>
        <v>30</v>
      </c>
      <c r="K41" s="13">
        <f t="shared" ca="1" si="14"/>
        <v>214.70349586125667</v>
      </c>
      <c r="L41" s="13">
        <f t="shared" ca="1" si="18"/>
        <v>-24.414083312947696</v>
      </c>
      <c r="N41">
        <v>0</v>
      </c>
      <c r="O41">
        <v>1E-3</v>
      </c>
      <c r="P41">
        <f t="shared" ca="1" si="19"/>
        <v>4.5999999999999999E-2</v>
      </c>
      <c r="Q41">
        <f t="shared" ca="1" si="19"/>
        <v>30</v>
      </c>
      <c r="R41" s="13">
        <f t="shared" ca="1" si="15"/>
        <v>-5.4412801512771694</v>
      </c>
      <c r="S41" s="13">
        <f t="shared" ca="1" si="20"/>
        <v>-244.55885932548154</v>
      </c>
    </row>
    <row r="43" spans="1:19" x14ac:dyDescent="0.55000000000000004">
      <c r="A43" s="4" t="s">
        <v>19</v>
      </c>
    </row>
    <row r="44" spans="1:19" x14ac:dyDescent="0.55000000000000004">
      <c r="A44" s="4" t="s">
        <v>38</v>
      </c>
    </row>
    <row r="45" spans="1:19" x14ac:dyDescent="0.55000000000000004">
      <c r="A45" s="4" t="s">
        <v>39</v>
      </c>
    </row>
    <row r="46" spans="1:19" x14ac:dyDescent="0.55000000000000004">
      <c r="A46" s="4" t="s">
        <v>35</v>
      </c>
    </row>
    <row r="47" spans="1:19" x14ac:dyDescent="0.55000000000000004">
      <c r="A47" s="4" t="s">
        <v>41</v>
      </c>
    </row>
  </sheetData>
  <mergeCells count="6">
    <mergeCell ref="G5:K5"/>
    <mergeCell ref="N5:R5"/>
    <mergeCell ref="G18:K18"/>
    <mergeCell ref="N18:R18"/>
    <mergeCell ref="G31:K31"/>
    <mergeCell ref="N31:R3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Application Part (i)</vt:lpstr>
      <vt:lpstr>Application Part (ii)</vt:lpstr>
      <vt:lpstr>Application Part (iii)</vt:lpstr>
      <vt:lpstr>Application Part (iv)-part(a)</vt:lpstr>
      <vt:lpstr>Application Part (iv)-part(b)</vt:lpstr>
      <vt:lpstr>Application Part (iv)-part(c)</vt:lpstr>
      <vt:lpstr>euribor_zero_rates</vt:lpstr>
      <vt:lpstr>ois_zero_rates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Gye Hyun Baek</dc:creator>
  <cp:lastModifiedBy>quan</cp:lastModifiedBy>
  <dcterms:created xsi:type="dcterms:W3CDTF">2015-10-10T15:14:06Z</dcterms:created>
  <dcterms:modified xsi:type="dcterms:W3CDTF">2015-10-12T01:42:11Z</dcterms:modified>
</cp:coreProperties>
</file>