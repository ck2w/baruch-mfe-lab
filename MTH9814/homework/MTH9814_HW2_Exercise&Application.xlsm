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0225" codeName="{00000000-0000-0000-0000-000000000000}"/>
  <workbookPr showInkAnnotation="0" codeName="ThisWorkbook" autoCompressPictures="0"/>
  <bookViews>
    <workbookView xWindow="240" yWindow="240" windowWidth="25360" windowHeight="15820" tabRatio="500" activeTab="4"/>
  </bookViews>
  <sheets>
    <sheet name="Exercise Q1" sheetId="1" r:id="rId1"/>
    <sheet name="Exercise Q2" sheetId="2" r:id="rId2"/>
    <sheet name="Exercise Q3" sheetId="3" r:id="rId3"/>
    <sheet name="Application Q1" sheetId="4" r:id="rId4"/>
    <sheet name="Application Q2" sheetId="5" r:id="rId5"/>
    <sheet name="Sandbox Application" sheetId="6" r:id="rId6"/>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6" i="5" l="1"/>
  <c r="G126" i="5"/>
  <c r="E126" i="5"/>
  <c r="C28" i="5"/>
  <c r="C29" i="5"/>
  <c r="E29" i="5"/>
  <c r="E8" i="5"/>
  <c r="G8" i="5"/>
  <c r="E9" i="5"/>
  <c r="G9" i="5"/>
  <c r="E10" i="5"/>
  <c r="G10" i="5"/>
  <c r="E11" i="5"/>
  <c r="G11" i="5"/>
  <c r="E12" i="5"/>
  <c r="G12" i="5"/>
  <c r="E13" i="5"/>
  <c r="G13" i="5"/>
  <c r="E14" i="5"/>
  <c r="G14" i="5"/>
  <c r="E15" i="5"/>
  <c r="G15" i="5"/>
  <c r="E16" i="5"/>
  <c r="G16" i="5"/>
  <c r="E17" i="5"/>
  <c r="G17" i="5"/>
  <c r="G19" i="5"/>
  <c r="G29" i="5"/>
  <c r="D29" i="5"/>
  <c r="F29" i="5"/>
  <c r="M8" i="5"/>
  <c r="O8" i="5"/>
  <c r="M9" i="5"/>
  <c r="O9" i="5"/>
  <c r="M10" i="5"/>
  <c r="O10" i="5"/>
  <c r="O12" i="5"/>
  <c r="H29" i="5"/>
  <c r="E78" i="5"/>
  <c r="E27" i="5"/>
  <c r="G27" i="5"/>
  <c r="D27" i="5"/>
  <c r="F27" i="5"/>
  <c r="H27" i="5"/>
  <c r="I76" i="5"/>
  <c r="D76" i="5"/>
  <c r="E28" i="5"/>
  <c r="G28" i="5"/>
  <c r="D28" i="5"/>
  <c r="F28" i="5"/>
  <c r="H28" i="5"/>
  <c r="M77" i="5"/>
  <c r="L77" i="5"/>
  <c r="K77" i="5"/>
  <c r="J77" i="5"/>
  <c r="D77" i="5"/>
  <c r="E77" i="5"/>
  <c r="F77" i="5"/>
  <c r="G77" i="5"/>
  <c r="H77" i="5"/>
  <c r="I77" i="5"/>
  <c r="N77" i="5"/>
  <c r="M78" i="5"/>
  <c r="L78" i="5"/>
  <c r="K78" i="5"/>
  <c r="J78" i="5"/>
  <c r="D78" i="5"/>
  <c r="F78" i="5"/>
  <c r="G78" i="5"/>
  <c r="H78" i="5"/>
  <c r="I78" i="5"/>
  <c r="N78" i="5"/>
  <c r="C30" i="5"/>
  <c r="E30" i="5"/>
  <c r="G30" i="5"/>
  <c r="D30" i="5"/>
  <c r="F30" i="5"/>
  <c r="H30" i="5"/>
  <c r="M79" i="5"/>
  <c r="L79" i="5"/>
  <c r="K79" i="5"/>
  <c r="J79" i="5"/>
  <c r="D79" i="5"/>
  <c r="E79" i="5"/>
  <c r="F79" i="5"/>
  <c r="G79" i="5"/>
  <c r="H79" i="5"/>
  <c r="I79" i="5"/>
  <c r="N79" i="5"/>
  <c r="C31" i="5"/>
  <c r="E31" i="5"/>
  <c r="G31" i="5"/>
  <c r="D31" i="5"/>
  <c r="F31" i="5"/>
  <c r="H31" i="5"/>
  <c r="M80" i="5"/>
  <c r="L80" i="5"/>
  <c r="K80" i="5"/>
  <c r="J80" i="5"/>
  <c r="D80" i="5"/>
  <c r="E80" i="5"/>
  <c r="F80" i="5"/>
  <c r="G80" i="5"/>
  <c r="H80" i="5"/>
  <c r="I80" i="5"/>
  <c r="N80" i="5"/>
  <c r="C32" i="5"/>
  <c r="E32" i="5"/>
  <c r="G32" i="5"/>
  <c r="D32" i="5"/>
  <c r="F32" i="5"/>
  <c r="H32" i="5"/>
  <c r="M81" i="5"/>
  <c r="L81" i="5"/>
  <c r="K81" i="5"/>
  <c r="J81" i="5"/>
  <c r="D81" i="5"/>
  <c r="E81" i="5"/>
  <c r="F81" i="5"/>
  <c r="G81" i="5"/>
  <c r="H81" i="5"/>
  <c r="I81" i="5"/>
  <c r="N81" i="5"/>
  <c r="C33" i="5"/>
  <c r="E33" i="5"/>
  <c r="G33" i="5"/>
  <c r="D33" i="5"/>
  <c r="F33" i="5"/>
  <c r="H33" i="5"/>
  <c r="M82" i="5"/>
  <c r="L82" i="5"/>
  <c r="K82" i="5"/>
  <c r="J82" i="5"/>
  <c r="D82" i="5"/>
  <c r="E82" i="5"/>
  <c r="F82" i="5"/>
  <c r="G82" i="5"/>
  <c r="H82" i="5"/>
  <c r="I82" i="5"/>
  <c r="N82" i="5"/>
  <c r="C34" i="5"/>
  <c r="E34" i="5"/>
  <c r="G34" i="5"/>
  <c r="D34" i="5"/>
  <c r="F34" i="5"/>
  <c r="H34" i="5"/>
  <c r="M83" i="5"/>
  <c r="L83" i="5"/>
  <c r="K83" i="5"/>
  <c r="J83" i="5"/>
  <c r="D83" i="5"/>
  <c r="E83" i="5"/>
  <c r="F83" i="5"/>
  <c r="G83" i="5"/>
  <c r="H83" i="5"/>
  <c r="I83" i="5"/>
  <c r="N83" i="5"/>
  <c r="C35" i="5"/>
  <c r="E35" i="5"/>
  <c r="G35" i="5"/>
  <c r="D35" i="5"/>
  <c r="F35" i="5"/>
  <c r="H35" i="5"/>
  <c r="M84" i="5"/>
  <c r="L84" i="5"/>
  <c r="K84" i="5"/>
  <c r="J84" i="5"/>
  <c r="D84" i="5"/>
  <c r="E84" i="5"/>
  <c r="F84" i="5"/>
  <c r="G84" i="5"/>
  <c r="H84" i="5"/>
  <c r="I84" i="5"/>
  <c r="N84" i="5"/>
  <c r="C36" i="5"/>
  <c r="E36" i="5"/>
  <c r="G36" i="5"/>
  <c r="D36" i="5"/>
  <c r="F36" i="5"/>
  <c r="H36" i="5"/>
  <c r="M85" i="5"/>
  <c r="L85" i="5"/>
  <c r="K85" i="5"/>
  <c r="J85" i="5"/>
  <c r="D85" i="5"/>
  <c r="E85" i="5"/>
  <c r="F85" i="5"/>
  <c r="G85" i="5"/>
  <c r="H85" i="5"/>
  <c r="I85" i="5"/>
  <c r="N85" i="5"/>
  <c r="C37" i="5"/>
  <c r="E37" i="5"/>
  <c r="G37" i="5"/>
  <c r="D37" i="5"/>
  <c r="F37" i="5"/>
  <c r="H37" i="5"/>
  <c r="M86" i="5"/>
  <c r="L86" i="5"/>
  <c r="K86" i="5"/>
  <c r="J86" i="5"/>
  <c r="D86" i="5"/>
  <c r="E86" i="5"/>
  <c r="F86" i="5"/>
  <c r="G86" i="5"/>
  <c r="H86" i="5"/>
  <c r="I86" i="5"/>
  <c r="N86" i="5"/>
  <c r="C38" i="5"/>
  <c r="E38" i="5"/>
  <c r="G38" i="5"/>
  <c r="D38" i="5"/>
  <c r="F38" i="5"/>
  <c r="H38" i="5"/>
  <c r="M87" i="5"/>
  <c r="L87" i="5"/>
  <c r="K87" i="5"/>
  <c r="J87" i="5"/>
  <c r="D87" i="5"/>
  <c r="E87" i="5"/>
  <c r="F87" i="5"/>
  <c r="G87" i="5"/>
  <c r="H87" i="5"/>
  <c r="I87" i="5"/>
  <c r="N87" i="5"/>
  <c r="C39" i="5"/>
  <c r="E39" i="5"/>
  <c r="G39" i="5"/>
  <c r="D39" i="5"/>
  <c r="F39" i="5"/>
  <c r="H39" i="5"/>
  <c r="M88" i="5"/>
  <c r="L88" i="5"/>
  <c r="K88" i="5"/>
  <c r="J88" i="5"/>
  <c r="D88" i="5"/>
  <c r="E88" i="5"/>
  <c r="F88" i="5"/>
  <c r="G88" i="5"/>
  <c r="H88" i="5"/>
  <c r="I88" i="5"/>
  <c r="N88" i="5"/>
  <c r="C40" i="5"/>
  <c r="E40" i="5"/>
  <c r="G40" i="5"/>
  <c r="D40" i="5"/>
  <c r="F40" i="5"/>
  <c r="H40" i="5"/>
  <c r="M89" i="5"/>
  <c r="L89" i="5"/>
  <c r="K89" i="5"/>
  <c r="J89" i="5"/>
  <c r="D89" i="5"/>
  <c r="E89" i="5"/>
  <c r="F89" i="5"/>
  <c r="G89" i="5"/>
  <c r="H89" i="5"/>
  <c r="I89" i="5"/>
  <c r="N89" i="5"/>
  <c r="C41" i="5"/>
  <c r="E41" i="5"/>
  <c r="G41" i="5"/>
  <c r="D41" i="5"/>
  <c r="F41" i="5"/>
  <c r="H41" i="5"/>
  <c r="M90" i="5"/>
  <c r="L90" i="5"/>
  <c r="K90" i="5"/>
  <c r="J90" i="5"/>
  <c r="D90" i="5"/>
  <c r="E90" i="5"/>
  <c r="F90" i="5"/>
  <c r="G90" i="5"/>
  <c r="H90" i="5"/>
  <c r="I90" i="5"/>
  <c r="N90" i="5"/>
  <c r="C42" i="5"/>
  <c r="E42" i="5"/>
  <c r="G42" i="5"/>
  <c r="D42" i="5"/>
  <c r="F42" i="5"/>
  <c r="H42" i="5"/>
  <c r="M91" i="5"/>
  <c r="L91" i="5"/>
  <c r="K91" i="5"/>
  <c r="J91" i="5"/>
  <c r="D91" i="5"/>
  <c r="E91" i="5"/>
  <c r="F91" i="5"/>
  <c r="G91" i="5"/>
  <c r="H91" i="5"/>
  <c r="I91" i="5"/>
  <c r="N91" i="5"/>
  <c r="C43" i="5"/>
  <c r="E43" i="5"/>
  <c r="G43" i="5"/>
  <c r="D43" i="5"/>
  <c r="F43" i="5"/>
  <c r="H43" i="5"/>
  <c r="M92" i="5"/>
  <c r="L92" i="5"/>
  <c r="K92" i="5"/>
  <c r="J92" i="5"/>
  <c r="D92" i="5"/>
  <c r="E92" i="5"/>
  <c r="F92" i="5"/>
  <c r="G92" i="5"/>
  <c r="H92" i="5"/>
  <c r="I92" i="5"/>
  <c r="N92" i="5"/>
  <c r="C44" i="5"/>
  <c r="E44" i="5"/>
  <c r="G44" i="5"/>
  <c r="D44" i="5"/>
  <c r="F44" i="5"/>
  <c r="H44" i="5"/>
  <c r="M93" i="5"/>
  <c r="L93" i="5"/>
  <c r="K93" i="5"/>
  <c r="J93" i="5"/>
  <c r="D93" i="5"/>
  <c r="E93" i="5"/>
  <c r="F93" i="5"/>
  <c r="G93" i="5"/>
  <c r="H93" i="5"/>
  <c r="I93" i="5"/>
  <c r="N93" i="5"/>
  <c r="C45" i="5"/>
  <c r="E45" i="5"/>
  <c r="G45" i="5"/>
  <c r="D45" i="5"/>
  <c r="F45" i="5"/>
  <c r="H45" i="5"/>
  <c r="M94" i="5"/>
  <c r="L94" i="5"/>
  <c r="K94" i="5"/>
  <c r="J94" i="5"/>
  <c r="D94" i="5"/>
  <c r="E94" i="5"/>
  <c r="F94" i="5"/>
  <c r="G94" i="5"/>
  <c r="H94" i="5"/>
  <c r="I94" i="5"/>
  <c r="N94" i="5"/>
  <c r="C46" i="5"/>
  <c r="E46" i="5"/>
  <c r="G46" i="5"/>
  <c r="D46" i="5"/>
  <c r="F46" i="5"/>
  <c r="H46" i="5"/>
  <c r="M95" i="5"/>
  <c r="L95" i="5"/>
  <c r="K95" i="5"/>
  <c r="J95" i="5"/>
  <c r="D95" i="5"/>
  <c r="E95" i="5"/>
  <c r="F95" i="5"/>
  <c r="G95" i="5"/>
  <c r="H95" i="5"/>
  <c r="I95" i="5"/>
  <c r="N95" i="5"/>
  <c r="C47" i="5"/>
  <c r="E47" i="5"/>
  <c r="G47" i="5"/>
  <c r="D47" i="5"/>
  <c r="F47" i="5"/>
  <c r="H47" i="5"/>
  <c r="M96" i="5"/>
  <c r="L96" i="5"/>
  <c r="K96" i="5"/>
  <c r="J96" i="5"/>
  <c r="D96" i="5"/>
  <c r="E96" i="5"/>
  <c r="F96" i="5"/>
  <c r="G96" i="5"/>
  <c r="H96" i="5"/>
  <c r="I96" i="5"/>
  <c r="N96" i="5"/>
  <c r="C48" i="5"/>
  <c r="E48" i="5"/>
  <c r="G48" i="5"/>
  <c r="D48" i="5"/>
  <c r="F48" i="5"/>
  <c r="H48" i="5"/>
  <c r="M97" i="5"/>
  <c r="L97" i="5"/>
  <c r="K97" i="5"/>
  <c r="J97" i="5"/>
  <c r="D97" i="5"/>
  <c r="E97" i="5"/>
  <c r="F97" i="5"/>
  <c r="G97" i="5"/>
  <c r="H97" i="5"/>
  <c r="I97" i="5"/>
  <c r="N97" i="5"/>
  <c r="C49" i="5"/>
  <c r="E49" i="5"/>
  <c r="G49" i="5"/>
  <c r="D49" i="5"/>
  <c r="F49" i="5"/>
  <c r="H49" i="5"/>
  <c r="M98" i="5"/>
  <c r="L98" i="5"/>
  <c r="K98" i="5"/>
  <c r="J98" i="5"/>
  <c r="D98" i="5"/>
  <c r="E98" i="5"/>
  <c r="F98" i="5"/>
  <c r="G98" i="5"/>
  <c r="H98" i="5"/>
  <c r="I98" i="5"/>
  <c r="N98" i="5"/>
  <c r="C50" i="5"/>
  <c r="E50" i="5"/>
  <c r="G50" i="5"/>
  <c r="D50" i="5"/>
  <c r="F50" i="5"/>
  <c r="H50" i="5"/>
  <c r="M99" i="5"/>
  <c r="L99" i="5"/>
  <c r="K99" i="5"/>
  <c r="J99" i="5"/>
  <c r="D99" i="5"/>
  <c r="E99" i="5"/>
  <c r="F99" i="5"/>
  <c r="G99" i="5"/>
  <c r="H99" i="5"/>
  <c r="I99" i="5"/>
  <c r="N99" i="5"/>
  <c r="C51" i="5"/>
  <c r="E51" i="5"/>
  <c r="G51" i="5"/>
  <c r="D51" i="5"/>
  <c r="F51" i="5"/>
  <c r="H51" i="5"/>
  <c r="M100" i="5"/>
  <c r="L100" i="5"/>
  <c r="K100" i="5"/>
  <c r="J100" i="5"/>
  <c r="D100" i="5"/>
  <c r="E100" i="5"/>
  <c r="F100" i="5"/>
  <c r="G100" i="5"/>
  <c r="H100" i="5"/>
  <c r="I100" i="5"/>
  <c r="N100" i="5"/>
  <c r="C52" i="5"/>
  <c r="E52" i="5"/>
  <c r="G52" i="5"/>
  <c r="D52" i="5"/>
  <c r="F52" i="5"/>
  <c r="H52" i="5"/>
  <c r="M101" i="5"/>
  <c r="L101" i="5"/>
  <c r="K101" i="5"/>
  <c r="J101" i="5"/>
  <c r="D101" i="5"/>
  <c r="E101" i="5"/>
  <c r="F101" i="5"/>
  <c r="G101" i="5"/>
  <c r="H101" i="5"/>
  <c r="I101" i="5"/>
  <c r="N101" i="5"/>
  <c r="C53" i="5"/>
  <c r="E53" i="5"/>
  <c r="G53" i="5"/>
  <c r="D53" i="5"/>
  <c r="F53" i="5"/>
  <c r="H53" i="5"/>
  <c r="M102" i="5"/>
  <c r="L102" i="5"/>
  <c r="K102" i="5"/>
  <c r="J102" i="5"/>
  <c r="D102" i="5"/>
  <c r="E102" i="5"/>
  <c r="F102" i="5"/>
  <c r="G102" i="5"/>
  <c r="H102" i="5"/>
  <c r="I102" i="5"/>
  <c r="N102" i="5"/>
  <c r="C54" i="5"/>
  <c r="E54" i="5"/>
  <c r="G54" i="5"/>
  <c r="D54" i="5"/>
  <c r="F54" i="5"/>
  <c r="H54" i="5"/>
  <c r="M103" i="5"/>
  <c r="L103" i="5"/>
  <c r="K103" i="5"/>
  <c r="J103" i="5"/>
  <c r="D103" i="5"/>
  <c r="E103" i="5"/>
  <c r="F103" i="5"/>
  <c r="G103" i="5"/>
  <c r="H103" i="5"/>
  <c r="I103" i="5"/>
  <c r="N103" i="5"/>
  <c r="C55" i="5"/>
  <c r="E55" i="5"/>
  <c r="G55" i="5"/>
  <c r="D55" i="5"/>
  <c r="F55" i="5"/>
  <c r="H55" i="5"/>
  <c r="M104" i="5"/>
  <c r="L104" i="5"/>
  <c r="K104" i="5"/>
  <c r="J104" i="5"/>
  <c r="D104" i="5"/>
  <c r="E104" i="5"/>
  <c r="F104" i="5"/>
  <c r="G104" i="5"/>
  <c r="H104" i="5"/>
  <c r="I104" i="5"/>
  <c r="N104" i="5"/>
  <c r="C56" i="5"/>
  <c r="E56" i="5"/>
  <c r="G56" i="5"/>
  <c r="D56" i="5"/>
  <c r="F56" i="5"/>
  <c r="H56" i="5"/>
  <c r="M105" i="5"/>
  <c r="L105" i="5"/>
  <c r="K105" i="5"/>
  <c r="J105" i="5"/>
  <c r="D105" i="5"/>
  <c r="E105" i="5"/>
  <c r="F105" i="5"/>
  <c r="G105" i="5"/>
  <c r="H105" i="5"/>
  <c r="I105" i="5"/>
  <c r="N105" i="5"/>
  <c r="C57" i="5"/>
  <c r="E57" i="5"/>
  <c r="G57" i="5"/>
  <c r="D57" i="5"/>
  <c r="F57" i="5"/>
  <c r="H57" i="5"/>
  <c r="M106" i="5"/>
  <c r="L106" i="5"/>
  <c r="K106" i="5"/>
  <c r="J106" i="5"/>
  <c r="D106" i="5"/>
  <c r="E106" i="5"/>
  <c r="F106" i="5"/>
  <c r="G106" i="5"/>
  <c r="H106" i="5"/>
  <c r="I106" i="5"/>
  <c r="N106" i="5"/>
  <c r="C58" i="5"/>
  <c r="E58" i="5"/>
  <c r="G58" i="5"/>
  <c r="D58" i="5"/>
  <c r="F58" i="5"/>
  <c r="H58" i="5"/>
  <c r="M107" i="5"/>
  <c r="L107" i="5"/>
  <c r="K107" i="5"/>
  <c r="J107" i="5"/>
  <c r="D107" i="5"/>
  <c r="E107" i="5"/>
  <c r="F107" i="5"/>
  <c r="G107" i="5"/>
  <c r="H107" i="5"/>
  <c r="I107" i="5"/>
  <c r="N107" i="5"/>
  <c r="C59" i="5"/>
  <c r="E59" i="5"/>
  <c r="G59" i="5"/>
  <c r="D59" i="5"/>
  <c r="F59" i="5"/>
  <c r="H59" i="5"/>
  <c r="M108" i="5"/>
  <c r="L108" i="5"/>
  <c r="K108" i="5"/>
  <c r="J108" i="5"/>
  <c r="D108" i="5"/>
  <c r="E108" i="5"/>
  <c r="F108" i="5"/>
  <c r="G108" i="5"/>
  <c r="H108" i="5"/>
  <c r="I108" i="5"/>
  <c r="N108" i="5"/>
  <c r="C60" i="5"/>
  <c r="E60" i="5"/>
  <c r="G60" i="5"/>
  <c r="D60" i="5"/>
  <c r="F60" i="5"/>
  <c r="H60" i="5"/>
  <c r="M109" i="5"/>
  <c r="L109" i="5"/>
  <c r="K109" i="5"/>
  <c r="J109" i="5"/>
  <c r="D109" i="5"/>
  <c r="E109" i="5"/>
  <c r="F109" i="5"/>
  <c r="G109" i="5"/>
  <c r="H109" i="5"/>
  <c r="I109" i="5"/>
  <c r="N109" i="5"/>
  <c r="C61" i="5"/>
  <c r="E61" i="5"/>
  <c r="G61" i="5"/>
  <c r="D61" i="5"/>
  <c r="F61" i="5"/>
  <c r="H61" i="5"/>
  <c r="M110" i="5"/>
  <c r="L110" i="5"/>
  <c r="K110" i="5"/>
  <c r="J110" i="5"/>
  <c r="D110" i="5"/>
  <c r="E110" i="5"/>
  <c r="F110" i="5"/>
  <c r="G110" i="5"/>
  <c r="H110" i="5"/>
  <c r="I110" i="5"/>
  <c r="N110" i="5"/>
  <c r="C62" i="5"/>
  <c r="E62" i="5"/>
  <c r="G62" i="5"/>
  <c r="D62" i="5"/>
  <c r="F62" i="5"/>
  <c r="H62" i="5"/>
  <c r="M111" i="5"/>
  <c r="L111" i="5"/>
  <c r="K111" i="5"/>
  <c r="J111" i="5"/>
  <c r="D111" i="5"/>
  <c r="E111" i="5"/>
  <c r="F111" i="5"/>
  <c r="G111" i="5"/>
  <c r="H111" i="5"/>
  <c r="I111" i="5"/>
  <c r="N111" i="5"/>
  <c r="C63" i="5"/>
  <c r="E63" i="5"/>
  <c r="G63" i="5"/>
  <c r="D63" i="5"/>
  <c r="F63" i="5"/>
  <c r="H63" i="5"/>
  <c r="M112" i="5"/>
  <c r="L112" i="5"/>
  <c r="K112" i="5"/>
  <c r="J112" i="5"/>
  <c r="D112" i="5"/>
  <c r="E112" i="5"/>
  <c r="F112" i="5"/>
  <c r="G112" i="5"/>
  <c r="H112" i="5"/>
  <c r="I112" i="5"/>
  <c r="N112" i="5"/>
  <c r="C64" i="5"/>
  <c r="E64" i="5"/>
  <c r="G64" i="5"/>
  <c r="D64" i="5"/>
  <c r="F64" i="5"/>
  <c r="H64" i="5"/>
  <c r="M113" i="5"/>
  <c r="L113" i="5"/>
  <c r="K113" i="5"/>
  <c r="J113" i="5"/>
  <c r="D113" i="5"/>
  <c r="E113" i="5"/>
  <c r="F113" i="5"/>
  <c r="G113" i="5"/>
  <c r="H113" i="5"/>
  <c r="I113" i="5"/>
  <c r="N113" i="5"/>
  <c r="C65" i="5"/>
  <c r="E65" i="5"/>
  <c r="G65" i="5"/>
  <c r="D65" i="5"/>
  <c r="F65" i="5"/>
  <c r="H65" i="5"/>
  <c r="M114" i="5"/>
  <c r="L114" i="5"/>
  <c r="K114" i="5"/>
  <c r="J114" i="5"/>
  <c r="D114" i="5"/>
  <c r="E114" i="5"/>
  <c r="F114" i="5"/>
  <c r="G114" i="5"/>
  <c r="H114" i="5"/>
  <c r="I114" i="5"/>
  <c r="N114" i="5"/>
  <c r="C66" i="5"/>
  <c r="E66" i="5"/>
  <c r="G66" i="5"/>
  <c r="D66" i="5"/>
  <c r="F66" i="5"/>
  <c r="H66" i="5"/>
  <c r="M115" i="5"/>
  <c r="L115" i="5"/>
  <c r="K115" i="5"/>
  <c r="J115" i="5"/>
  <c r="D115" i="5"/>
  <c r="E115" i="5"/>
  <c r="F115" i="5"/>
  <c r="G115" i="5"/>
  <c r="H115" i="5"/>
  <c r="I115" i="5"/>
  <c r="N115" i="5"/>
  <c r="C67" i="5"/>
  <c r="E67" i="5"/>
  <c r="G67" i="5"/>
  <c r="D67" i="5"/>
  <c r="F67" i="5"/>
  <c r="H67" i="5"/>
  <c r="M116" i="5"/>
  <c r="L116" i="5"/>
  <c r="K116" i="5"/>
  <c r="J116" i="5"/>
  <c r="D116" i="5"/>
  <c r="E116" i="5"/>
  <c r="F116" i="5"/>
  <c r="G116" i="5"/>
  <c r="H116" i="5"/>
  <c r="I116" i="5"/>
  <c r="N116" i="5"/>
  <c r="M76" i="5"/>
  <c r="L76" i="5"/>
  <c r="K76" i="5"/>
  <c r="J76" i="5"/>
  <c r="E76" i="5"/>
  <c r="F76" i="5"/>
  <c r="G76" i="5"/>
  <c r="H76" i="5"/>
  <c r="N76" i="5"/>
  <c r="P9" i="5"/>
  <c r="P10" i="5"/>
  <c r="P8" i="5"/>
  <c r="D60" i="3"/>
  <c r="E62" i="3"/>
  <c r="E166" i="5"/>
  <c r="H166" i="5"/>
  <c r="E127" i="5"/>
  <c r="H127" i="5"/>
  <c r="E128" i="5"/>
  <c r="H128" i="5"/>
  <c r="E129" i="5"/>
  <c r="H129" i="5"/>
  <c r="E130" i="5"/>
  <c r="H130" i="5"/>
  <c r="E131" i="5"/>
  <c r="H131" i="5"/>
  <c r="E132" i="5"/>
  <c r="H132" i="5"/>
  <c r="E133" i="5"/>
  <c r="H133" i="5"/>
  <c r="E134" i="5"/>
  <c r="H134" i="5"/>
  <c r="E135" i="5"/>
  <c r="H135" i="5"/>
  <c r="E136" i="5"/>
  <c r="H136" i="5"/>
  <c r="E137" i="5"/>
  <c r="H137" i="5"/>
  <c r="E138" i="5"/>
  <c r="H138" i="5"/>
  <c r="E139" i="5"/>
  <c r="H139" i="5"/>
  <c r="E140" i="5"/>
  <c r="H140" i="5"/>
  <c r="E141" i="5"/>
  <c r="H141" i="5"/>
  <c r="E142" i="5"/>
  <c r="H142" i="5"/>
  <c r="E143" i="5"/>
  <c r="H143" i="5"/>
  <c r="E144" i="5"/>
  <c r="H144" i="5"/>
  <c r="E145" i="5"/>
  <c r="H145" i="5"/>
  <c r="E146" i="5"/>
  <c r="H146" i="5"/>
  <c r="E147" i="5"/>
  <c r="H147" i="5"/>
  <c r="E148" i="5"/>
  <c r="H148" i="5"/>
  <c r="E149" i="5"/>
  <c r="H149" i="5"/>
  <c r="E150" i="5"/>
  <c r="H150" i="5"/>
  <c r="E151" i="5"/>
  <c r="H151" i="5"/>
  <c r="E152" i="5"/>
  <c r="H152" i="5"/>
  <c r="E153" i="5"/>
  <c r="H153" i="5"/>
  <c r="E154" i="5"/>
  <c r="H154" i="5"/>
  <c r="E155" i="5"/>
  <c r="H155" i="5"/>
  <c r="E156" i="5"/>
  <c r="H156" i="5"/>
  <c r="E157" i="5"/>
  <c r="H157" i="5"/>
  <c r="E158" i="5"/>
  <c r="H158" i="5"/>
  <c r="E159" i="5"/>
  <c r="H159" i="5"/>
  <c r="E160" i="5"/>
  <c r="H160" i="5"/>
  <c r="E161" i="5"/>
  <c r="H161" i="5"/>
  <c r="E162" i="5"/>
  <c r="H162" i="5"/>
  <c r="E163" i="5"/>
  <c r="H163" i="5"/>
  <c r="E164" i="5"/>
  <c r="H164" i="5"/>
  <c r="E165" i="5"/>
  <c r="H165"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O13" i="5"/>
  <c r="H9" i="5"/>
  <c r="H10" i="5"/>
  <c r="H11" i="5"/>
  <c r="H12" i="5"/>
  <c r="H13" i="5"/>
  <c r="H14" i="5"/>
  <c r="H15" i="5"/>
  <c r="H16" i="5"/>
  <c r="H17" i="5"/>
  <c r="H8" i="5"/>
  <c r="G20" i="5"/>
  <c r="D46" i="3"/>
  <c r="F46" i="3"/>
  <c r="F26" i="3"/>
  <c r="F27" i="3"/>
  <c r="F28" i="3"/>
  <c r="F29" i="3"/>
  <c r="F30" i="3"/>
  <c r="F31" i="3"/>
  <c r="F32" i="3"/>
  <c r="F33" i="3"/>
  <c r="F34" i="3"/>
  <c r="F35" i="3"/>
  <c r="E8" i="3"/>
  <c r="G8" i="3"/>
  <c r="E9" i="3"/>
  <c r="G9" i="3"/>
  <c r="E10" i="3"/>
  <c r="G10" i="3"/>
  <c r="E11" i="3"/>
  <c r="G11" i="3"/>
  <c r="E12" i="3"/>
  <c r="G12" i="3"/>
  <c r="E13" i="3"/>
  <c r="G13" i="3"/>
  <c r="E14" i="3"/>
  <c r="G14" i="3"/>
  <c r="E15" i="3"/>
  <c r="G15" i="3"/>
  <c r="E16" i="3"/>
  <c r="G16" i="3"/>
  <c r="E17" i="3"/>
  <c r="G17" i="3"/>
  <c r="G19" i="3"/>
  <c r="E38" i="3"/>
  <c r="E26" i="3"/>
  <c r="E27" i="3"/>
  <c r="E28" i="3"/>
  <c r="E29" i="3"/>
  <c r="E30" i="3"/>
  <c r="E31" i="3"/>
  <c r="E32" i="3"/>
  <c r="E33" i="3"/>
  <c r="E34" i="3"/>
  <c r="E35" i="3"/>
  <c r="E37" i="3"/>
  <c r="F8" i="2"/>
  <c r="G8" i="2"/>
  <c r="F32" i="2"/>
  <c r="G32" i="2"/>
  <c r="E18" i="2"/>
  <c r="E19" i="2"/>
  <c r="E21" i="2"/>
  <c r="H18" i="2"/>
  <c r="F18" i="2"/>
  <c r="F19" i="2"/>
  <c r="G19" i="2"/>
  <c r="H19" i="2"/>
  <c r="F33" i="2"/>
  <c r="G33" i="2"/>
  <c r="F34" i="2"/>
  <c r="G34" i="2"/>
  <c r="G35" i="2"/>
  <c r="G37" i="2"/>
  <c r="E42" i="1"/>
  <c r="G42" i="1"/>
  <c r="E43" i="1"/>
  <c r="G43" i="1"/>
  <c r="G45" i="1"/>
  <c r="D48" i="1"/>
  <c r="E48" i="1"/>
  <c r="G48" i="1"/>
  <c r="D49" i="1"/>
  <c r="E49" i="1"/>
  <c r="G49" i="1"/>
  <c r="G51" i="1"/>
  <c r="E32" i="2"/>
  <c r="E33" i="2"/>
  <c r="E34" i="2"/>
  <c r="E35" i="2"/>
  <c r="E37" i="2"/>
  <c r="G18" i="2"/>
  <c r="E31" i="1"/>
  <c r="E28" i="1"/>
  <c r="E29" i="1"/>
  <c r="D30" i="1"/>
  <c r="E30" i="1"/>
  <c r="E33" i="1"/>
  <c r="E34" i="1"/>
  <c r="E14" i="1"/>
  <c r="G14" i="1"/>
  <c r="E15" i="1"/>
  <c r="G15" i="1"/>
  <c r="E16" i="1"/>
  <c r="G16" i="1"/>
  <c r="G18" i="1"/>
</calcChain>
</file>

<file path=xl/sharedStrings.xml><?xml version="1.0" encoding="utf-8"?>
<sst xmlns="http://schemas.openxmlformats.org/spreadsheetml/2006/main" count="225" uniqueCount="155">
  <si>
    <t>Part a)</t>
  </si>
  <si>
    <t>t (in years)</t>
  </si>
  <si>
    <t>Part b)</t>
  </si>
  <si>
    <t>Part c)</t>
  </si>
  <si>
    <t>The term structure of risk-free zero rates are as follows:</t>
  </si>
  <si>
    <t>t</t>
  </si>
  <si>
    <t>r (continuous)</t>
  </si>
  <si>
    <t>What is the present value of a risk-free bond with maturity 3 years paying annual coupons of 3.5%? Express your answer per 100 face.</t>
  </si>
  <si>
    <t>Discount Factor</t>
  </si>
  <si>
    <t>Cash Flow</t>
  </si>
  <si>
    <t>PV</t>
  </si>
  <si>
    <t>Bond Value</t>
  </si>
  <si>
    <t>What is the 2-year semiannual par yield? Use linear interpolation in the continously compounded risk-free zero rate.</t>
  </si>
  <si>
    <t>We can use spot rates at t=1 and t=2 to interpolate the spot rate at t = 1.5</t>
  </si>
  <si>
    <t>r(1.5) = (r(2)-r(1))/(2-1)*(1.5-1)+r(1); Then we can compute the discount factor from the spot rate by Pt = exp(-rt)</t>
  </si>
  <si>
    <t>Then we can derive the annuity by 1/m*Σpti, where m = 2 in the case of semiannual coupon payment</t>
  </si>
  <si>
    <t>Annuity</t>
  </si>
  <si>
    <t>And finally, we can calculate the par yield by (1-PT)/A(m,T)</t>
  </si>
  <si>
    <t>Par Yield</t>
  </si>
  <si>
    <t>What is the yield (express as a continously compounded rate) of a 1-year risk-free bond with a 5% coupon rate per year that pays semiannually?</t>
  </si>
  <si>
    <t>We can first calculate the bond value using DCF method, and then find the yield y by solving an equation of V = ΣC(i)*e^(-yt(i))+N*e^(-yT)</t>
  </si>
  <si>
    <t>The following problems describe bond prices or yields observed at the same time. All bond prices are expressed per 100 face.</t>
  </si>
  <si>
    <t>A zero-coupon bond with 6-month maturity trades at 99.875. What is the risk-free zero-rate, expressed with continous compounding, to this bond's maturity?</t>
  </si>
  <si>
    <t>A bond paying a coupon of 4% per year semiannually with a maturity of 1 year has a yield of 50 basis points, expressed in the bond's natural compounding frequency.</t>
  </si>
  <si>
    <t>A bond paying a 2% coupon per year semiannually with a maturity of 2 years has a yield of 1.05%, expressed in the bond's natural compounding frequency.</t>
  </si>
  <si>
    <t>Using linear interpolation in the continously compounded risk-free zero rates, find the risk-free zero rate, expressed with continous compounding, to this bond's maturity.</t>
  </si>
  <si>
    <t>Pt</t>
  </si>
  <si>
    <t>r (continous)</t>
  </si>
  <si>
    <t>Since the bond only has one cash flow payment of 100 at maturity (t=0.5), we can find the zero-rate by computing r=-ln(P(t))/t</t>
  </si>
  <si>
    <t>Bond Price</t>
  </si>
  <si>
    <t xml:space="preserve"> PV (natural)</t>
  </si>
  <si>
    <t>PV (continous)</t>
  </si>
  <si>
    <t>What is the risk-free zero rate, expressed with continous compounding, to this bond's maturity? (1 basis point is 1% of 1%, or 0.0001)</t>
  </si>
  <si>
    <t>So, we can find the zero-rate at t=1 by calculating r(1)=-ln(P(t1), where P(t1) = PV(continous)/CF</t>
  </si>
  <si>
    <t>The basic idea is that PV of natural compounding is equal to PV of continous compounding and r(0.5) was calculated from part (a)</t>
  </si>
  <si>
    <t>The present value of each bond payment can be calculated using PV(i) = C(i)*(1+r/m)^(-m*t(i)), where r = 0.005 and m = 2</t>
  </si>
  <si>
    <t>The present value of each bond payment can be calculated using PV(i) = C(i)*(1+r/m)^(-m*t(i)), where r = 0.0105 and m = 2</t>
  </si>
  <si>
    <t>Bond Yield</t>
  </si>
  <si>
    <t>A bond with a 5-year maturity pays a 4% coupon semiannually. At the moment, it trades with a yield of 2.5%, expressed with continous compounding.</t>
  </si>
  <si>
    <t>What is the price of the bond? Express your answer assuming a 100 face amount.</t>
  </si>
  <si>
    <t>What is the (Macaulay) duration of the bond? What is its convexity?</t>
  </si>
  <si>
    <t>Part d)</t>
  </si>
  <si>
    <t>What is the modified duration of the bond?</t>
  </si>
  <si>
    <t>Use the discussion in the chapter to derive an expression for a bond's modified convexity, and calculate it for this bond.</t>
  </si>
  <si>
    <t>yield (continuous)</t>
  </si>
  <si>
    <t>Run "Goal Seek" function, with the total PV as the target cell ('set cell'), a seek value of $103.460262 ('to value'), which was computed based on the given spot rates and with the assumed yield as the changing cell.</t>
  </si>
  <si>
    <t>We can use spot rates at t=1 and t=2 to interpolate the spot rate at t = 1.5. So spot rate at t=1.5 is (r(2)-r(1))/(2-1)*(1.5-1)+r(1)</t>
  </si>
  <si>
    <t>Then we can have an intial guess of r(2) equals 0.01 and run " Go Seek" function.</t>
  </si>
  <si>
    <t>Run "Goal Seek" function, with the total PV as the target cell ('set cell') with a seek value of 101.875322 ('to value') with the cell with the assumed yield as the changing cell.</t>
  </si>
  <si>
    <t>t(i)c(i)e^(-yt(i))</t>
  </si>
  <si>
    <t>We can find the macaulay duration by D = Σt(i)c(i)e^(-yt(i))/V and C = Σt(i)^2c(i)e^(-yt(i))/V</t>
  </si>
  <si>
    <t>t(i)^2c(i)e^(-yt(i))</t>
  </si>
  <si>
    <t>Macaulay Duration</t>
  </si>
  <si>
    <t>Macaulay Convexity</t>
  </si>
  <si>
    <t>Then we can find modified duration by Dm = D(1+Ym/m)^(-1)</t>
  </si>
  <si>
    <t>Yield y</t>
  </si>
  <si>
    <t>Modified Yield</t>
  </si>
  <si>
    <t>Mondified Duration</t>
  </si>
  <si>
    <t>First we need to calculate a modified yield which makes e^(-yT) = (1+Ym/m)^(-mT), where y = 0.025, T =5, m =2. So Ym =(e^(y/m)-1)*m</t>
  </si>
  <si>
    <t>Exercise 1</t>
  </si>
  <si>
    <t>Exercise 2</t>
  </si>
  <si>
    <t>Exercise 3</t>
  </si>
  <si>
    <t>Application 2</t>
  </si>
  <si>
    <t>Application 1</t>
  </si>
  <si>
    <t>Approximation of Portfolio Yield from Yields of Its Constituent Instruments</t>
  </si>
  <si>
    <t>A portfolio consists of two fixed-coupon bonds: The first has maturity 5 years, pays interest semiannually at the rate of 4% per year, and has a yield (expressed with continuous compounding) of 2.5%.</t>
  </si>
  <si>
    <t>The second has maturity of 3 years, pays interest annaully at the rate of 1.5% per year, and has a yield (expressed with continous compounding) of 5%.</t>
  </si>
  <si>
    <t>Compute the prices and durations of these bonds, expressing each price per 100 face amount</t>
  </si>
  <si>
    <t>Bond 1</t>
  </si>
  <si>
    <t>Bond 1 Price</t>
  </si>
  <si>
    <t>Bond 1 Duration</t>
  </si>
  <si>
    <t>Bond 2</t>
  </si>
  <si>
    <t>Bond 2 Price</t>
  </si>
  <si>
    <t>Bond 2 Duration</t>
  </si>
  <si>
    <r>
      <t xml:space="preserve">Suppose we have 100 total to invest. We construct a portfolio by choosing weight </t>
    </r>
    <r>
      <rPr>
        <b/>
        <i/>
        <sz val="14"/>
        <color theme="1"/>
        <rFont val="Calibri"/>
        <scheme val="minor"/>
      </rPr>
      <t>w</t>
    </r>
    <r>
      <rPr>
        <b/>
        <sz val="14"/>
        <color theme="1"/>
        <rFont val="Calibri"/>
        <scheme val="minor"/>
      </rPr>
      <t xml:space="preserve"> to invest in the first bond and therefore weight 1-</t>
    </r>
    <r>
      <rPr>
        <b/>
        <i/>
        <sz val="14"/>
        <color theme="1"/>
        <rFont val="Calibri"/>
        <scheme val="minor"/>
      </rPr>
      <t>w</t>
    </r>
    <r>
      <rPr>
        <b/>
        <sz val="14"/>
        <color theme="1"/>
        <rFont val="Calibri"/>
        <scheme val="minor"/>
      </rPr>
      <t xml:space="preserve"> to invest in the second.</t>
    </r>
  </si>
  <si>
    <r>
      <t>For</t>
    </r>
    <r>
      <rPr>
        <b/>
        <i/>
        <sz val="14"/>
        <color theme="1"/>
        <rFont val="Calibri"/>
        <scheme val="minor"/>
      </rPr>
      <t xml:space="preserve"> w</t>
    </r>
    <r>
      <rPr>
        <b/>
        <sz val="14"/>
        <color theme="1"/>
        <rFont val="Calibri"/>
        <scheme val="minor"/>
      </rPr>
      <t xml:space="preserve"> running from 0 to 1 inclusive, spaced 0.025 apart, calculate the quantity(face amount) held of each bond given </t>
    </r>
    <r>
      <rPr>
        <b/>
        <i/>
        <sz val="14"/>
        <color theme="1"/>
        <rFont val="Calibri"/>
        <scheme val="minor"/>
      </rPr>
      <t>w.</t>
    </r>
  </si>
  <si>
    <t>w</t>
  </si>
  <si>
    <t>1-w</t>
  </si>
  <si>
    <t>Portfolio Value</t>
  </si>
  <si>
    <t>Using your nonlinear solver of choice, for each of the portfolios above in part b, calculate the yield of the portfolio's cash flows, expressed with continuous compounding.</t>
  </si>
  <si>
    <t>t=0.5</t>
  </si>
  <si>
    <t>t=1</t>
  </si>
  <si>
    <t>t=1.5</t>
  </si>
  <si>
    <t>t=2</t>
  </si>
  <si>
    <t>t=2.5</t>
  </si>
  <si>
    <t>t=3</t>
  </si>
  <si>
    <t>t=3.5</t>
  </si>
  <si>
    <t>t=4</t>
  </si>
  <si>
    <t>t=4.5</t>
  </si>
  <si>
    <t>t=5</t>
  </si>
  <si>
    <t>Portfolio Yield</t>
  </si>
  <si>
    <t>For each of the portfolios whose yield you calculated above in c, compare your result to the following approximation:</t>
  </si>
  <si>
    <t>D1</t>
  </si>
  <si>
    <t>y1</t>
  </si>
  <si>
    <t>V1</t>
  </si>
  <si>
    <t>V2</t>
  </si>
  <si>
    <t>CF (Bond 1)</t>
  </si>
  <si>
    <t>CF (Bond 2)</t>
  </si>
  <si>
    <t>D2</t>
  </si>
  <si>
    <t>y2</t>
  </si>
  <si>
    <t>Estimated Yield</t>
  </si>
  <si>
    <t>Difference</t>
  </si>
  <si>
    <t>Approx. Error</t>
  </si>
  <si>
    <t>Conclusion: The estimated yields are slightly larger than the results calculated in part c, except the last one.</t>
  </si>
  <si>
    <t>Part e)</t>
  </si>
  <si>
    <t>Consider a portfolio Π of N fixed-coupon bonds, with known Vi, Di, and yi, for each bond, I = 1, 2, …, N. Using the first-order approximation of the bond's price at a given yield:</t>
  </si>
  <si>
    <t>derive the approximation of the portfolio yield:</t>
  </si>
  <si>
    <t>A Lower Bound on the Convexity of a Collection of Deterministic Positive Cash Flows</t>
  </si>
  <si>
    <t>In the chapter, it was asserted that for any collection of deterministic and strictly positive cash flows with a particular duration, a zero-coupon bond exhibits the least convexity.</t>
  </si>
  <si>
    <t xml:space="preserve">The goal of this problem is to formalize that assertion. For the purposes of this problem, we will take advantage of the fact, discussed more throughly in a later chapter, </t>
  </si>
  <si>
    <t>that for a portfolio Π consisting of several instruments with values V1, V2, …, Vn having durations D1, D2, …, Dn and convexities C1, C2, …, Cn, we may say that</t>
  </si>
  <si>
    <t>for certain suitable definitions of duration and convexity. For the moment, we will not concern ourselves with what those definitions are, but will simply use the result.</t>
  </si>
  <si>
    <t xml:space="preserve">Show that for an arbitrary portfolio Π consisting of n strictly positive cash flows occuring at different times, the following inequality holds: </t>
  </si>
  <si>
    <t>Explain why your argument from above in (a) suffices to prove the desired result concerning zero-coupon bonds.</t>
  </si>
  <si>
    <t>Can the result be extended to portfolios in which some of the cash flows are negative - that is, levered portfolio or portfolios that also include deterministic liabilities? Explain the reasoning behind your answer.</t>
  </si>
  <si>
    <t>By using the chain rule, we get:</t>
  </si>
  <si>
    <t xml:space="preserve">, in which </t>
  </si>
  <si>
    <t>and</t>
  </si>
  <si>
    <t>So, we get the modified duration can be converted from macaulay duration and convexity as below:</t>
  </si>
  <si>
    <t>m</t>
  </si>
  <si>
    <t>D</t>
  </si>
  <si>
    <t>C</t>
  </si>
  <si>
    <t>ym</t>
  </si>
  <si>
    <t>As we know, for a single cash flow, the duration is just t and convexity is t^2</t>
  </si>
  <si>
    <t>We can denote w1 =</t>
  </si>
  <si>
    <t xml:space="preserve">w2 = </t>
  </si>
  <si>
    <t>(Prove by induction)</t>
  </si>
  <si>
    <t>Because of the convexity of the function f(t) = t^2, we get:</t>
  </si>
  <si>
    <t>For n=2:</t>
  </si>
  <si>
    <t>For n:</t>
  </si>
  <si>
    <t>Then the duration and convexity of a portfolio of only two positive cash flows at t1 and t2 are:</t>
  </si>
  <si>
    <t>Assume that we have a portfolio of n cash flows satisfying</t>
  </si>
  <si>
    <t>For n+1:</t>
  </si>
  <si>
    <t>Then the duration and convexity become:</t>
  </si>
  <si>
    <t xml:space="preserve">Since </t>
  </si>
  <si>
    <t>For the additional positive cash flow at t(n+1), we denote V' to be the value of the cash flow, D' and C' to be the duration and convexity of the cash flow and π' to be the new portfolio.</t>
  </si>
  <si>
    <r>
      <t xml:space="preserve"> </t>
    </r>
    <r>
      <rPr>
        <b/>
        <sz val="14"/>
        <color theme="1"/>
        <rFont val="Calibri"/>
        <scheme val="minor"/>
      </rPr>
      <t xml:space="preserve">       , It is easy to get</t>
    </r>
  </si>
  <si>
    <t>Again, because of the convexity of the function f(t) = t^2, we will have:</t>
  </si>
  <si>
    <t xml:space="preserve">So, </t>
  </si>
  <si>
    <t>i.e.</t>
  </si>
  <si>
    <t>In conclusion, a portfolio consisting of n strictly positive cash flows will satisfy</t>
  </si>
  <si>
    <t>The result cannot be extended to the portfolios in which some of the cash flows are negative.</t>
  </si>
  <si>
    <t>With the negative cash flows, the duration and convexity of the portfolio might be negative as well. In such cases, the result cannot be achieved because squared duration is always non-negative.</t>
  </si>
  <si>
    <t>(except for the cases when n = 1 and n = 2, V1 = V2 and t1 = t2, where</t>
  </si>
  <si>
    <t xml:space="preserve">  )</t>
  </si>
  <si>
    <t>For the case of n = 2, V1 = V2 and t1 = t2, this is the same as saying one single cash flow.</t>
  </si>
  <si>
    <t xml:space="preserve">So we can conclude that single cash flow bonds have the smallest convexity for the same portfolio duration. Because any other portfolio will have </t>
  </si>
  <si>
    <t>This verifies the fact that the zero-coupon bond offers the least convexity of any instrument with the same duration.</t>
  </si>
  <si>
    <t xml:space="preserve">As we know form the first-order approximation of bond's price, </t>
  </si>
  <si>
    <t>We can sum both sides from i = 1 to i = N and get:</t>
  </si>
  <si>
    <t>Since</t>
  </si>
  <si>
    <t xml:space="preserve">       , we than have </t>
  </si>
  <si>
    <t xml:space="preserve">Therefore, it is easy to derive </t>
  </si>
  <si>
    <t>N1</t>
  </si>
  <si>
    <t>N2</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</si>
</sst>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6" formatCode="&quot;$&quot;#,##0;[Red]\-&quot;$&quot;#,##0"/>
    <numFmt numFmtId="164" formatCode="&quot;$&quot;#,##0.00_);[Red]\(&quot;$&quot;#,##0.00\)"/>
    <numFmt numFmtId="165" formatCode="0.000000"/>
    <numFmt numFmtId="166" formatCode="&quot;$&quot;#,##0.000000"/>
    <numFmt numFmtId="167" formatCode="&quot;$&quot;#,##0.0"/>
    <numFmt numFmtId="168" formatCode="&quot;$&quot;#,##0"/>
    <numFmt numFmtId="170" formatCode="#,##0.000000"/>
    <numFmt numFmtId="172" formatCode="0.000000%"/>
    <numFmt numFmtId="174" formatCode="#,##0.00_ ;[Red]\-#,##0.00\ "/>
    <numFmt numFmtId="175" formatCode="0.000000000"/>
  </numFmts>
  <fonts count="15" x14ac:knownFonts="1">
    <font>
      <sz val="12"/>
      <color theme="1"/>
      <name val="Calibri"/>
      <family val="2"/>
      <scheme val="minor"/>
    </font>
    <font>
      <b/>
      <sz val="12"/>
      <color theme="1"/>
      <name val="Calibri"/>
      <family val="2"/>
      <scheme val="minor"/>
    </font>
    <font>
      <b/>
      <i/>
      <sz val="20"/>
      <color theme="1"/>
      <name val="Calibri"/>
      <scheme val="minor"/>
    </font>
    <font>
      <sz val="14"/>
      <color theme="1"/>
      <name val="Calibri"/>
      <scheme val="minor"/>
    </font>
    <font>
      <b/>
      <sz val="14"/>
      <color theme="1"/>
      <name val="Calibri"/>
      <scheme val="minor"/>
    </font>
    <font>
      <u/>
      <sz val="12"/>
      <color theme="10"/>
      <name val="Calibri"/>
      <family val="2"/>
      <scheme val="minor"/>
    </font>
    <font>
      <u/>
      <sz val="12"/>
      <color theme="11"/>
      <name val="Calibri"/>
      <family val="2"/>
      <scheme val="minor"/>
    </font>
    <font>
      <b/>
      <sz val="14"/>
      <color rgb="FF000000"/>
      <name val="Calibri"/>
      <scheme val="minor"/>
    </font>
    <font>
      <sz val="14"/>
      <color rgb="FF000000"/>
      <name val="Calibri"/>
      <scheme val="minor"/>
    </font>
    <font>
      <i/>
      <sz val="14"/>
      <color theme="1"/>
      <name val="Calibri"/>
      <scheme val="minor"/>
    </font>
    <font>
      <b/>
      <i/>
      <sz val="14"/>
      <color theme="1"/>
      <name val="Calibri"/>
      <scheme val="minor"/>
    </font>
    <font>
      <i/>
      <sz val="16"/>
      <color theme="1"/>
      <name val="Calibri"/>
      <scheme val="minor"/>
    </font>
    <font>
      <b/>
      <sz val="12"/>
      <color theme="1"/>
      <name val="Cambria"/>
    </font>
    <font>
      <b/>
      <sz val="14"/>
      <color theme="1"/>
      <name val="Cambria"/>
    </font>
    <font>
      <sz val="14"/>
      <color rgb="FFFFFF00"/>
      <name val="Calibri"/>
      <scheme val="minor"/>
    </font>
  </fonts>
  <fills count="6">
    <fill>
      <patternFill patternType="none"/>
    </fill>
    <fill>
      <patternFill patternType="gray125"/>
    </fill>
    <fill>
      <patternFill patternType="solid">
        <fgColor theme="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FFFF00"/>
        <bgColor rgb="FF000000"/>
      </patternFill>
    </fill>
  </fills>
  <borders count="10">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83">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141">
    <xf numFmtId="0" fontId="0" fillId="0" borderId="0" xfId="0"/>
    <xf numFmtId="0" fontId="2" fillId="2" borderId="0" xfId="0" applyFont="1" applyFill="1"/>
    <xf numFmtId="0" fontId="0" fillId="2" borderId="0" xfId="0" applyFill="1"/>
    <xf numFmtId="0" fontId="3" fillId="0" borderId="0" xfId="0" applyFont="1"/>
    <xf numFmtId="0" fontId="4" fillId="3" borderId="0" xfId="0" applyFont="1" applyFill="1"/>
    <xf numFmtId="0" fontId="4" fillId="0" borderId="0" xfId="0" applyFont="1"/>
    <xf numFmtId="0" fontId="4" fillId="4" borderId="0" xfId="0" applyFont="1" applyFill="1"/>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0" xfId="0" applyFont="1" applyFill="1"/>
    <xf numFmtId="0" fontId="4" fillId="0" borderId="3" xfId="0" applyFont="1" applyFill="1" applyBorder="1" applyAlignment="1">
      <alignment horizontal="center"/>
    </xf>
    <xf numFmtId="0" fontId="3" fillId="0" borderId="0" xfId="0" applyFont="1" applyAlignment="1">
      <alignment horizontal="center"/>
    </xf>
    <xf numFmtId="0" fontId="0" fillId="0" borderId="0" xfId="0" applyAlignment="1">
      <alignment horizontal="center"/>
    </xf>
    <xf numFmtId="0" fontId="3" fillId="0" borderId="6" xfId="0" applyFont="1" applyBorder="1" applyAlignment="1">
      <alignment horizontal="center"/>
    </xf>
    <xf numFmtId="0" fontId="3" fillId="0" borderId="9" xfId="0" applyFont="1" applyBorder="1" applyAlignment="1">
      <alignment horizontal="center"/>
    </xf>
    <xf numFmtId="0" fontId="4" fillId="0" borderId="0" xfId="0" applyFont="1" applyFill="1"/>
    <xf numFmtId="0" fontId="0" fillId="0" borderId="0" xfId="0" applyFill="1"/>
    <xf numFmtId="0" fontId="4" fillId="3" borderId="0" xfId="0" applyFont="1" applyFill="1" applyAlignment="1">
      <alignment horizontal="center"/>
    </xf>
    <xf numFmtId="0" fontId="1" fillId="3" borderId="0" xfId="0" applyFont="1" applyFill="1" applyAlignment="1">
      <alignment horizontal="center"/>
    </xf>
    <xf numFmtId="0" fontId="1" fillId="3" borderId="0" xfId="0" applyFont="1" applyFill="1"/>
    <xf numFmtId="0" fontId="4" fillId="0" borderId="0" xfId="0" applyFont="1" applyFill="1" applyAlignment="1">
      <alignment horizontal="center"/>
    </xf>
    <xf numFmtId="0" fontId="1" fillId="0" borderId="0" xfId="0" applyFont="1" applyFill="1"/>
    <xf numFmtId="0" fontId="3" fillId="0" borderId="0" xfId="0" applyFont="1" applyFill="1" applyAlignment="1">
      <alignment horizontal="center"/>
    </xf>
    <xf numFmtId="0" fontId="0" fillId="0" borderId="0" xfId="0" applyFont="1" applyFill="1" applyAlignment="1">
      <alignment horizontal="center"/>
    </xf>
    <xf numFmtId="0" fontId="0" fillId="0" borderId="0" xfId="0" applyFont="1" applyFill="1"/>
    <xf numFmtId="0" fontId="3" fillId="0" borderId="0" xfId="0" applyFont="1" applyBorder="1" applyAlignment="1">
      <alignment horizontal="center"/>
    </xf>
    <xf numFmtId="0" fontId="3" fillId="0" borderId="0" xfId="0" applyFont="1" applyFill="1" applyBorder="1" applyAlignment="1">
      <alignment horizontal="center"/>
    </xf>
    <xf numFmtId="0" fontId="3" fillId="0" borderId="5" xfId="0" applyFont="1" applyFill="1" applyBorder="1" applyAlignment="1">
      <alignment horizontal="center"/>
    </xf>
    <xf numFmtId="167" fontId="3" fillId="0" borderId="5" xfId="0" applyNumberFormat="1" applyFont="1" applyFill="1" applyBorder="1" applyAlignment="1">
      <alignment horizontal="center"/>
    </xf>
    <xf numFmtId="0" fontId="4" fillId="0" borderId="2" xfId="0" applyFont="1" applyFill="1" applyBorder="1" applyAlignment="1">
      <alignment horizontal="center"/>
    </xf>
    <xf numFmtId="166" fontId="3" fillId="0" borderId="6" xfId="0" applyNumberFormat="1" applyFont="1" applyFill="1" applyBorder="1"/>
    <xf numFmtId="0" fontId="3" fillId="0" borderId="8" xfId="0" applyFont="1" applyFill="1" applyBorder="1" applyAlignment="1">
      <alignment horizontal="center"/>
    </xf>
    <xf numFmtId="167" fontId="3" fillId="0" borderId="8" xfId="0" applyNumberFormat="1" applyFont="1" applyFill="1" applyBorder="1" applyAlignment="1">
      <alignment horizontal="center"/>
    </xf>
    <xf numFmtId="166" fontId="3" fillId="0" borderId="9" xfId="0" applyNumberFormat="1" applyFont="1" applyFill="1" applyBorder="1"/>
    <xf numFmtId="166" fontId="4" fillId="0" borderId="0" xfId="0" applyNumberFormat="1" applyFont="1" applyFill="1"/>
    <xf numFmtId="166" fontId="4" fillId="4" borderId="0" xfId="0" applyNumberFormat="1" applyFont="1" applyFill="1"/>
    <xf numFmtId="0" fontId="7" fillId="5" borderId="0" xfId="0" applyFont="1" applyFill="1"/>
    <xf numFmtId="0" fontId="8" fillId="0" borderId="0" xfId="0" applyFont="1"/>
    <xf numFmtId="0" fontId="7" fillId="0" borderId="0" xfId="0" applyFont="1" applyFill="1"/>
    <xf numFmtId="0" fontId="7" fillId="4" borderId="0" xfId="0" applyFont="1" applyFill="1"/>
    <xf numFmtId="0" fontId="8" fillId="4" borderId="0" xfId="0" applyFont="1" applyFill="1"/>
    <xf numFmtId="0" fontId="8" fillId="0" borderId="0" xfId="0" applyFont="1" applyFill="1"/>
    <xf numFmtId="0" fontId="0" fillId="4" borderId="0" xfId="0" applyFill="1"/>
    <xf numFmtId="0" fontId="1" fillId="4" borderId="0" xfId="0" applyFont="1" applyFill="1"/>
    <xf numFmtId="0" fontId="4" fillId="4" borderId="0" xfId="0" applyFont="1" applyFill="1" applyAlignment="1">
      <alignment horizontal="center"/>
    </xf>
    <xf numFmtId="0" fontId="3" fillId="0" borderId="6" xfId="0" applyFont="1" applyFill="1" applyBorder="1" applyAlignment="1">
      <alignment horizontal="center"/>
    </xf>
    <xf numFmtId="0" fontId="3" fillId="0" borderId="9" xfId="0" applyFont="1" applyFill="1" applyBorder="1" applyAlignment="1">
      <alignment horizontal="center"/>
    </xf>
    <xf numFmtId="165" fontId="4" fillId="4" borderId="0" xfId="0" applyNumberFormat="1" applyFont="1" applyFill="1" applyAlignment="1">
      <alignment horizontal="center"/>
    </xf>
    <xf numFmtId="0" fontId="4" fillId="0" borderId="0" xfId="0" applyFont="1" applyAlignment="1">
      <alignment horizontal="center"/>
    </xf>
    <xf numFmtId="0" fontId="0" fillId="3" borderId="0" xfId="0" applyFill="1"/>
    <xf numFmtId="0" fontId="3" fillId="3" borderId="0" xfId="0" applyFont="1" applyFill="1"/>
    <xf numFmtId="0" fontId="3" fillId="4" borderId="9" xfId="0" applyFont="1" applyFill="1" applyBorder="1" applyAlignment="1">
      <alignment horizontal="center"/>
    </xf>
    <xf numFmtId="0" fontId="3" fillId="4" borderId="0" xfId="0" applyFont="1" applyFill="1"/>
    <xf numFmtId="164" fontId="0" fillId="0" borderId="0" xfId="0" applyNumberFormat="1"/>
    <xf numFmtId="0" fontId="7" fillId="0" borderId="1" xfId="0" applyFont="1" applyBorder="1" applyAlignment="1">
      <alignment horizontal="center"/>
    </xf>
    <xf numFmtId="0" fontId="8" fillId="0" borderId="7" xfId="0" applyFont="1" applyBorder="1" applyAlignment="1">
      <alignment horizontal="center"/>
    </xf>
    <xf numFmtId="166" fontId="3" fillId="0" borderId="6" xfId="0" applyNumberFormat="1" applyFont="1" applyFill="1" applyBorder="1" applyAlignment="1">
      <alignment horizontal="center"/>
    </xf>
    <xf numFmtId="166" fontId="3" fillId="0" borderId="9" xfId="0" applyNumberFormat="1" applyFont="1" applyFill="1" applyBorder="1" applyAlignment="1">
      <alignment horizontal="center"/>
    </xf>
    <xf numFmtId="0" fontId="4" fillId="0" borderId="5" xfId="0" applyFont="1" applyFill="1" applyBorder="1" applyAlignment="1">
      <alignment horizontal="center"/>
    </xf>
    <xf numFmtId="0" fontId="3" fillId="4" borderId="5" xfId="0" applyFont="1" applyFill="1" applyBorder="1" applyAlignment="1">
      <alignment horizontal="center"/>
    </xf>
    <xf numFmtId="0" fontId="3" fillId="4" borderId="8" xfId="0" applyFont="1" applyFill="1" applyBorder="1" applyAlignment="1">
      <alignment horizontal="center"/>
    </xf>
    <xf numFmtId="0" fontId="8" fillId="0" borderId="0" xfId="0" applyFont="1" applyBorder="1" applyAlignment="1">
      <alignment horizontal="center"/>
    </xf>
    <xf numFmtId="168" fontId="8" fillId="0" borderId="0" xfId="0" applyNumberFormat="1" applyFont="1" applyBorder="1" applyAlignment="1">
      <alignment horizontal="center"/>
    </xf>
    <xf numFmtId="0" fontId="7" fillId="0" borderId="5" xfId="0" applyFont="1" applyBorder="1" applyAlignment="1">
      <alignment horizontal="center"/>
    </xf>
    <xf numFmtId="0" fontId="8" fillId="0" borderId="5" xfId="0" applyFont="1" applyBorder="1" applyAlignment="1">
      <alignment horizontal="center"/>
    </xf>
    <xf numFmtId="168" fontId="8" fillId="0" borderId="5" xfId="0" applyNumberFormat="1" applyFont="1" applyBorder="1" applyAlignment="1">
      <alignment horizontal="center"/>
    </xf>
    <xf numFmtId="0" fontId="3" fillId="0" borderId="0" xfId="0" applyFont="1" applyFill="1" applyBorder="1"/>
    <xf numFmtId="0" fontId="7" fillId="0" borderId="2" xfId="0" applyFont="1" applyBorder="1" applyAlignment="1">
      <alignment horizontal="center"/>
    </xf>
    <xf numFmtId="0" fontId="7" fillId="0" borderId="3" xfId="0" applyFont="1" applyBorder="1" applyAlignment="1">
      <alignment horizontal="center"/>
    </xf>
    <xf numFmtId="0" fontId="8" fillId="0" borderId="4" xfId="0" applyFont="1" applyBorder="1" applyAlignment="1">
      <alignment horizontal="center"/>
    </xf>
    <xf numFmtId="0" fontId="8" fillId="0" borderId="8" xfId="0" applyFont="1" applyBorder="1" applyAlignment="1">
      <alignment horizontal="center"/>
    </xf>
    <xf numFmtId="168" fontId="8" fillId="0" borderId="8" xfId="0" applyNumberFormat="1" applyFont="1" applyBorder="1" applyAlignment="1">
      <alignment horizontal="center"/>
    </xf>
    <xf numFmtId="165" fontId="3" fillId="0" borderId="5" xfId="0" applyNumberFormat="1" applyFont="1" applyFill="1" applyBorder="1" applyAlignment="1">
      <alignment horizontal="center"/>
    </xf>
    <xf numFmtId="170" fontId="4" fillId="4" borderId="0" xfId="0" applyNumberFormat="1" applyFont="1" applyFill="1" applyAlignment="1">
      <alignment horizontal="center"/>
    </xf>
    <xf numFmtId="170" fontId="3" fillId="0" borderId="0" xfId="0" applyNumberFormat="1" applyFont="1" applyFill="1" applyAlignment="1">
      <alignment horizontal="center"/>
    </xf>
    <xf numFmtId="168" fontId="7" fillId="0" borderId="0" xfId="0" applyNumberFormat="1" applyFont="1" applyFill="1" applyBorder="1" applyAlignment="1"/>
    <xf numFmtId="166" fontId="3" fillId="0" borderId="0" xfId="0" applyNumberFormat="1" applyFont="1" applyFill="1" applyAlignment="1">
      <alignment horizontal="center"/>
    </xf>
    <xf numFmtId="165" fontId="3" fillId="0" borderId="0" xfId="0" applyNumberFormat="1" applyFont="1" applyAlignment="1">
      <alignment horizontal="center"/>
    </xf>
    <xf numFmtId="0" fontId="9" fillId="0" borderId="0" xfId="0" applyFont="1"/>
    <xf numFmtId="0" fontId="11" fillId="0" borderId="0" xfId="0" applyFont="1"/>
    <xf numFmtId="166" fontId="8" fillId="0" borderId="6" xfId="0" applyNumberFormat="1" applyFont="1" applyBorder="1" applyAlignment="1">
      <alignment horizontal="center"/>
    </xf>
    <xf numFmtId="166" fontId="8" fillId="0" borderId="9" xfId="0" applyNumberFormat="1" applyFont="1" applyBorder="1" applyAlignment="1">
      <alignment horizontal="center"/>
    </xf>
    <xf numFmtId="166" fontId="8" fillId="0" borderId="5" xfId="0" applyNumberFormat="1" applyFont="1" applyBorder="1" applyAlignment="1">
      <alignment horizontal="center"/>
    </xf>
    <xf numFmtId="165" fontId="3" fillId="0" borderId="6" xfId="0" applyNumberFormat="1" applyFont="1" applyFill="1" applyBorder="1" applyAlignment="1">
      <alignment horizontal="center"/>
    </xf>
    <xf numFmtId="166" fontId="8" fillId="0" borderId="8" xfId="0" applyNumberFormat="1" applyFont="1" applyBorder="1" applyAlignment="1">
      <alignment horizontal="center"/>
    </xf>
    <xf numFmtId="165" fontId="3" fillId="0" borderId="9" xfId="0" applyNumberFormat="1" applyFont="1" applyFill="1" applyBorder="1" applyAlignment="1">
      <alignment horizontal="center"/>
    </xf>
    <xf numFmtId="166" fontId="4" fillId="4" borderId="0" xfId="0" applyNumberFormat="1" applyFont="1" applyFill="1" applyAlignment="1">
      <alignment horizontal="center"/>
    </xf>
    <xf numFmtId="167" fontId="8" fillId="0" borderId="5" xfId="0" applyNumberFormat="1" applyFont="1" applyBorder="1" applyAlignment="1">
      <alignment horizontal="center"/>
    </xf>
    <xf numFmtId="167" fontId="8" fillId="0" borderId="8" xfId="0" applyNumberFormat="1" applyFont="1" applyBorder="1" applyAlignment="1">
      <alignment horizontal="center"/>
    </xf>
    <xf numFmtId="6" fontId="3" fillId="0" borderId="0" xfId="0" applyNumberFormat="1" applyFont="1" applyAlignment="1">
      <alignment horizontal="center"/>
    </xf>
    <xf numFmtId="0" fontId="4" fillId="0" borderId="5" xfId="0" applyFont="1" applyBorder="1" applyAlignment="1">
      <alignment horizontal="center"/>
    </xf>
    <xf numFmtId="0" fontId="10" fillId="0" borderId="1" xfId="0" applyFont="1" applyBorder="1" applyAlignment="1">
      <alignment horizontal="center"/>
    </xf>
    <xf numFmtId="0" fontId="10" fillId="0" borderId="2" xfId="0" applyFont="1" applyBorder="1" applyAlignment="1">
      <alignment horizontal="center"/>
    </xf>
    <xf numFmtId="2" fontId="3" fillId="0" borderId="5" xfId="0" applyNumberFormat="1" applyFont="1" applyBorder="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168" fontId="8" fillId="0" borderId="6" xfId="0" applyNumberFormat="1" applyFont="1" applyBorder="1" applyAlignment="1">
      <alignment horizontal="center"/>
    </xf>
    <xf numFmtId="167" fontId="3" fillId="0" borderId="8" xfId="0" applyNumberFormat="1" applyFont="1" applyBorder="1" applyAlignment="1">
      <alignment horizontal="center"/>
    </xf>
    <xf numFmtId="167" fontId="3" fillId="0" borderId="9" xfId="0" applyNumberFormat="1" applyFont="1" applyBorder="1" applyAlignment="1">
      <alignment horizontal="center"/>
    </xf>
    <xf numFmtId="2" fontId="3" fillId="0" borderId="4" xfId="0" applyNumberFormat="1" applyFont="1" applyBorder="1" applyAlignment="1">
      <alignment horizontal="center"/>
    </xf>
    <xf numFmtId="2" fontId="3" fillId="0" borderId="6" xfId="0" applyNumberFormat="1" applyFont="1" applyBorder="1" applyAlignment="1">
      <alignment horizontal="center"/>
    </xf>
    <xf numFmtId="2" fontId="3" fillId="0" borderId="7" xfId="0" applyNumberFormat="1" applyFont="1" applyBorder="1" applyAlignment="1">
      <alignment horizontal="center"/>
    </xf>
    <xf numFmtId="2" fontId="3" fillId="0" borderId="8" xfId="0" applyNumberFormat="1" applyFont="1" applyBorder="1" applyAlignment="1">
      <alignment horizontal="center"/>
    </xf>
    <xf numFmtId="2" fontId="3" fillId="0" borderId="9" xfId="0" applyNumberFormat="1" applyFont="1" applyBorder="1" applyAlignment="1">
      <alignment horizontal="center"/>
    </xf>
    <xf numFmtId="165" fontId="3" fillId="4" borderId="0" xfId="0" applyNumberFormat="1" applyFont="1" applyFill="1" applyAlignment="1">
      <alignment horizontal="center"/>
    </xf>
    <xf numFmtId="0" fontId="12" fillId="0" borderId="0" xfId="0" applyFont="1" applyAlignment="1">
      <alignment vertical="center"/>
    </xf>
    <xf numFmtId="0" fontId="0" fillId="0" borderId="0" xfId="0" applyAlignment="1">
      <alignment vertical="center"/>
    </xf>
    <xf numFmtId="0" fontId="13" fillId="0" borderId="0" xfId="0" applyFont="1" applyAlignment="1">
      <alignment vertical="center"/>
    </xf>
    <xf numFmtId="0" fontId="13" fillId="0" borderId="0" xfId="0" applyFont="1" applyFill="1" applyAlignment="1">
      <alignment vertical="center"/>
    </xf>
    <xf numFmtId="165" fontId="3" fillId="0" borderId="2" xfId="0" applyNumberFormat="1" applyFont="1" applyFill="1" applyBorder="1" applyAlignment="1">
      <alignment horizontal="center"/>
    </xf>
    <xf numFmtId="172" fontId="3" fillId="4" borderId="3" xfId="0" applyNumberFormat="1" applyFont="1" applyFill="1" applyBorder="1" applyAlignment="1">
      <alignment horizontal="center"/>
    </xf>
    <xf numFmtId="172" fontId="3" fillId="4" borderId="6" xfId="0" applyNumberFormat="1" applyFont="1" applyFill="1" applyBorder="1" applyAlignment="1">
      <alignment horizontal="center"/>
    </xf>
    <xf numFmtId="165" fontId="3" fillId="0" borderId="8" xfId="0" applyNumberFormat="1" applyFont="1" applyFill="1" applyBorder="1" applyAlignment="1">
      <alignment horizontal="center"/>
    </xf>
    <xf numFmtId="172" fontId="3" fillId="4" borderId="9" xfId="0" applyNumberFormat="1" applyFont="1" applyFill="1" applyBorder="1" applyAlignment="1">
      <alignment horizontal="center"/>
    </xf>
    <xf numFmtId="0" fontId="12" fillId="4" borderId="0" xfId="0" applyFont="1" applyFill="1" applyAlignment="1">
      <alignment vertical="center"/>
    </xf>
    <xf numFmtId="0" fontId="12" fillId="4" borderId="0" xfId="0" applyFont="1" applyFill="1" applyAlignment="1">
      <alignment horizontal="right" vertical="center"/>
    </xf>
    <xf numFmtId="0" fontId="4" fillId="4" borderId="0" xfId="0" applyFont="1" applyFill="1" applyAlignment="1">
      <alignment horizontal="right"/>
    </xf>
    <xf numFmtId="0" fontId="13" fillId="4" borderId="0" xfId="0" applyFont="1" applyFill="1" applyAlignment="1">
      <alignment vertical="center"/>
    </xf>
    <xf numFmtId="0" fontId="14" fillId="4" borderId="0" xfId="0" applyFont="1" applyFill="1"/>
    <xf numFmtId="0" fontId="3" fillId="0" borderId="0" xfId="0" applyFont="1" applyAlignment="1">
      <alignment horizontal="right"/>
    </xf>
    <xf numFmtId="0" fontId="4" fillId="4" borderId="0" xfId="0" applyFont="1" applyFill="1" applyAlignment="1">
      <alignment vertical="center"/>
    </xf>
    <xf numFmtId="168" fontId="7" fillId="4" borderId="0" xfId="0" applyNumberFormat="1" applyFont="1" applyFill="1" applyBorder="1" applyAlignment="1">
      <alignment horizontal="center"/>
    </xf>
    <xf numFmtId="0" fontId="4" fillId="4" borderId="0" xfId="0" applyFont="1" applyFill="1" applyAlignment="1">
      <alignment horizontal="center"/>
    </xf>
    <xf numFmtId="0" fontId="3" fillId="0" borderId="0" xfId="0" applyFont="1" applyAlignment="1">
      <alignment horizontal="center"/>
    </xf>
    <xf numFmtId="174" fontId="3" fillId="0" borderId="5" xfId="0" applyNumberFormat="1" applyFont="1" applyFill="1" applyBorder="1" applyAlignment="1">
      <alignment horizontal="center"/>
    </xf>
    <xf numFmtId="174" fontId="3" fillId="0" borderId="8" xfId="0" applyNumberFormat="1" applyFont="1" applyFill="1" applyBorder="1" applyAlignment="1">
      <alignment horizontal="center"/>
    </xf>
    <xf numFmtId="0" fontId="4" fillId="4" borderId="2" xfId="0" applyFont="1" applyFill="1" applyBorder="1" applyAlignment="1">
      <alignment horizontal="center"/>
    </xf>
    <xf numFmtId="0" fontId="4" fillId="4" borderId="3" xfId="0" applyFont="1" applyFill="1" applyBorder="1" applyAlignment="1">
      <alignment horizontal="center"/>
    </xf>
    <xf numFmtId="170" fontId="3" fillId="4" borderId="5" xfId="0" applyNumberFormat="1" applyFont="1" applyFill="1" applyBorder="1" applyAlignment="1">
      <alignment horizontal="center"/>
    </xf>
    <xf numFmtId="170" fontId="3" fillId="4" borderId="6" xfId="0" applyNumberFormat="1" applyFont="1" applyFill="1" applyBorder="1" applyAlignment="1">
      <alignment horizontal="center"/>
    </xf>
    <xf numFmtId="170" fontId="3" fillId="4" borderId="8" xfId="0" applyNumberFormat="1" applyFont="1" applyFill="1" applyBorder="1" applyAlignment="1">
      <alignment horizontal="center"/>
    </xf>
    <xf numFmtId="170" fontId="3" fillId="4" borderId="9" xfId="0" applyNumberFormat="1" applyFont="1" applyFill="1" applyBorder="1" applyAlignment="1">
      <alignment horizontal="center"/>
    </xf>
    <xf numFmtId="175" fontId="3" fillId="0" borderId="2" xfId="0" applyNumberFormat="1" applyFont="1" applyBorder="1" applyAlignment="1">
      <alignment horizontal="center"/>
    </xf>
    <xf numFmtId="175" fontId="3" fillId="0" borderId="5" xfId="0" applyNumberFormat="1" applyFont="1" applyBorder="1" applyAlignment="1">
      <alignment horizontal="center"/>
    </xf>
    <xf numFmtId="175" fontId="3" fillId="0" borderId="8" xfId="0" applyNumberFormat="1" applyFont="1" applyBorder="1" applyAlignment="1">
      <alignment horizontal="center"/>
    </xf>
  </cellXfs>
  <cellStyles count="18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4" Type="http://schemas.openxmlformats.org/officeDocument/2006/relationships/image" Target="../media/image4.png"/><Relationship Id="rId1" Type="http://schemas.openxmlformats.org/officeDocument/2006/relationships/image" Target="../media/image1.png"/><Relationship Id="rId2" Type="http://schemas.openxmlformats.org/officeDocument/2006/relationships/image" Target="../media/image2.png"/></Relationships>
</file>

<file path=xl/drawings/_rels/drawing2.xml.rels><?xml version="1.0" encoding="UTF-8" standalone="yes"?>
<Relationships xmlns="http://schemas.openxmlformats.org/package/2006/relationships"><Relationship Id="rId9" Type="http://schemas.openxmlformats.org/officeDocument/2006/relationships/image" Target="../media/image13.png"/><Relationship Id="rId20" Type="http://schemas.openxmlformats.org/officeDocument/2006/relationships/image" Target="../media/image24.png"/><Relationship Id="rId10" Type="http://schemas.openxmlformats.org/officeDocument/2006/relationships/image" Target="../media/image14.png"/><Relationship Id="rId11" Type="http://schemas.openxmlformats.org/officeDocument/2006/relationships/image" Target="../media/image15.png"/><Relationship Id="rId12" Type="http://schemas.openxmlformats.org/officeDocument/2006/relationships/image" Target="../media/image16.png"/><Relationship Id="rId13" Type="http://schemas.openxmlformats.org/officeDocument/2006/relationships/image" Target="../media/image17.png"/><Relationship Id="rId14" Type="http://schemas.openxmlformats.org/officeDocument/2006/relationships/image" Target="../media/image18.png"/><Relationship Id="rId15" Type="http://schemas.openxmlformats.org/officeDocument/2006/relationships/image" Target="../media/image19.png"/><Relationship Id="rId16" Type="http://schemas.openxmlformats.org/officeDocument/2006/relationships/image" Target="../media/image20.png"/><Relationship Id="rId17" Type="http://schemas.openxmlformats.org/officeDocument/2006/relationships/image" Target="../media/image21.png"/><Relationship Id="rId18" Type="http://schemas.openxmlformats.org/officeDocument/2006/relationships/image" Target="../media/image22.png"/><Relationship Id="rId19" Type="http://schemas.openxmlformats.org/officeDocument/2006/relationships/image" Target="../media/image23.png"/><Relationship Id="rId1" Type="http://schemas.openxmlformats.org/officeDocument/2006/relationships/image" Target="../media/image5.png"/><Relationship Id="rId2" Type="http://schemas.openxmlformats.org/officeDocument/2006/relationships/image" Target="../media/image6.png"/><Relationship Id="rId3" Type="http://schemas.openxmlformats.org/officeDocument/2006/relationships/image" Target="../media/image7.png"/><Relationship Id="rId4" Type="http://schemas.openxmlformats.org/officeDocument/2006/relationships/image" Target="../media/image8.png"/><Relationship Id="rId5" Type="http://schemas.openxmlformats.org/officeDocument/2006/relationships/image" Target="../media/image9.png"/><Relationship Id="rId6" Type="http://schemas.openxmlformats.org/officeDocument/2006/relationships/image" Target="../media/image10.png"/><Relationship Id="rId7" Type="http://schemas.openxmlformats.org/officeDocument/2006/relationships/image" Target="../media/image11.png"/><Relationship Id="rId8"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27.png"/><Relationship Id="rId4" Type="http://schemas.openxmlformats.org/officeDocument/2006/relationships/image" Target="../media/image28.png"/><Relationship Id="rId5" Type="http://schemas.openxmlformats.org/officeDocument/2006/relationships/image" Target="../media/image29.png"/><Relationship Id="rId6" Type="http://schemas.openxmlformats.org/officeDocument/2006/relationships/image" Target="../media/image30.png"/><Relationship Id="rId7" Type="http://schemas.openxmlformats.org/officeDocument/2006/relationships/image" Target="../media/image31.png"/><Relationship Id="rId8" Type="http://schemas.openxmlformats.org/officeDocument/2006/relationships/image" Target="../media/image32.png"/><Relationship Id="rId1" Type="http://schemas.openxmlformats.org/officeDocument/2006/relationships/image" Target="../media/image25.png"/><Relationship Id="rId2"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50</xdr:row>
      <xdr:rowOff>114300</xdr:rowOff>
    </xdr:from>
    <xdr:to>
      <xdr:col>5</xdr:col>
      <xdr:colOff>63500</xdr:colOff>
      <xdr:row>52</xdr:row>
      <xdr:rowOff>88900</xdr:rowOff>
    </xdr:to>
    <xdr:pic>
      <xdr:nvPicPr>
        <xdr:cNvPr id="4100" name="Picture 4" descr="clip_image001.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7800" y="11658600"/>
          <a:ext cx="1574800" cy="431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800100</xdr:colOff>
      <xdr:row>50</xdr:row>
      <xdr:rowOff>127000</xdr:rowOff>
    </xdr:from>
    <xdr:to>
      <xdr:col>3</xdr:col>
      <xdr:colOff>901700</xdr:colOff>
      <xdr:row>52</xdr:row>
      <xdr:rowOff>101600</xdr:rowOff>
    </xdr:to>
    <xdr:pic>
      <xdr:nvPicPr>
        <xdr:cNvPr id="4102" name="Picture 6" descr="clip_image001.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51100" y="11671300"/>
          <a:ext cx="1270000" cy="431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12700</xdr:colOff>
      <xdr:row>48</xdr:row>
      <xdr:rowOff>152400</xdr:rowOff>
    </xdr:from>
    <xdr:to>
      <xdr:col>7</xdr:col>
      <xdr:colOff>495300</xdr:colOff>
      <xdr:row>50</xdr:row>
      <xdr:rowOff>152400</xdr:rowOff>
    </xdr:to>
    <xdr:pic>
      <xdr:nvPicPr>
        <xdr:cNvPr id="4103" name="Picture 7" descr="clip_image001.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00500" y="11239500"/>
          <a:ext cx="44323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660400</xdr:colOff>
      <xdr:row>54</xdr:row>
      <xdr:rowOff>0</xdr:rowOff>
    </xdr:from>
    <xdr:to>
      <xdr:col>5</xdr:col>
      <xdr:colOff>800100</xdr:colOff>
      <xdr:row>55</xdr:row>
      <xdr:rowOff>152400</xdr:rowOff>
    </xdr:to>
    <xdr:pic>
      <xdr:nvPicPr>
        <xdr:cNvPr id="4104" name="Picture 8" descr="clip_image001.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311400" y="12458700"/>
          <a:ext cx="39878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508000</xdr:colOff>
      <xdr:row>21</xdr:row>
      <xdr:rowOff>215900</xdr:rowOff>
    </xdr:from>
    <xdr:to>
      <xdr:col>3</xdr:col>
      <xdr:colOff>381000</xdr:colOff>
      <xdr:row>23</xdr:row>
      <xdr:rowOff>0</xdr:rowOff>
    </xdr:to>
    <xdr:pic>
      <xdr:nvPicPr>
        <xdr:cNvPr id="2" name="Picture 1" descr="clip_image0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9000" y="5105400"/>
          <a:ext cx="6985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30</xdr:row>
      <xdr:rowOff>0</xdr:rowOff>
    </xdr:from>
    <xdr:to>
      <xdr:col>8</xdr:col>
      <xdr:colOff>698500</xdr:colOff>
      <xdr:row>31</xdr:row>
      <xdr:rowOff>12700</xdr:rowOff>
    </xdr:to>
    <xdr:pic>
      <xdr:nvPicPr>
        <xdr:cNvPr id="3" name="Picture 2" descr="clip_image0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4000" y="6946900"/>
          <a:ext cx="6985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444500</xdr:colOff>
      <xdr:row>4</xdr:row>
      <xdr:rowOff>38100</xdr:rowOff>
    </xdr:from>
    <xdr:to>
      <xdr:col>5</xdr:col>
      <xdr:colOff>215900</xdr:colOff>
      <xdr:row>6</xdr:row>
      <xdr:rowOff>38100</xdr:rowOff>
    </xdr:to>
    <xdr:pic>
      <xdr:nvPicPr>
        <xdr:cNvPr id="3074" name="Picture 2" descr="clip_image001.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21000" y="1041400"/>
          <a:ext cx="14224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533400</xdr:colOff>
      <xdr:row>4</xdr:row>
      <xdr:rowOff>38100</xdr:rowOff>
    </xdr:from>
    <xdr:to>
      <xdr:col>7</xdr:col>
      <xdr:colOff>266700</xdr:colOff>
      <xdr:row>5</xdr:row>
      <xdr:rowOff>190500</xdr:rowOff>
    </xdr:to>
    <xdr:pic>
      <xdr:nvPicPr>
        <xdr:cNvPr id="3075" name="Picture 3" descr="clip_image001.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0900" y="1041400"/>
          <a:ext cx="13843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25400</xdr:colOff>
      <xdr:row>4</xdr:row>
      <xdr:rowOff>25400</xdr:rowOff>
    </xdr:from>
    <xdr:to>
      <xdr:col>3</xdr:col>
      <xdr:colOff>101600</xdr:colOff>
      <xdr:row>5</xdr:row>
      <xdr:rowOff>215900</xdr:rowOff>
    </xdr:to>
    <xdr:pic>
      <xdr:nvPicPr>
        <xdr:cNvPr id="3076" name="Picture 4" descr="clip_image001.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6400" y="1028700"/>
          <a:ext cx="9017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304800</xdr:colOff>
      <xdr:row>8</xdr:row>
      <xdr:rowOff>0</xdr:rowOff>
    </xdr:from>
    <xdr:to>
      <xdr:col>15</xdr:col>
      <xdr:colOff>177800</xdr:colOff>
      <xdr:row>9</xdr:row>
      <xdr:rowOff>12700</xdr:rowOff>
    </xdr:to>
    <xdr:pic>
      <xdr:nvPicPr>
        <xdr:cNvPr id="3077" name="Picture 5" descr="clip_image001.pn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861800" y="1917700"/>
          <a:ext cx="6985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736600</xdr:colOff>
      <xdr:row>11</xdr:row>
      <xdr:rowOff>190500</xdr:rowOff>
    </xdr:from>
    <xdr:to>
      <xdr:col>4</xdr:col>
      <xdr:colOff>546100</xdr:colOff>
      <xdr:row>13</xdr:row>
      <xdr:rowOff>63500</xdr:rowOff>
    </xdr:to>
    <xdr:pic>
      <xdr:nvPicPr>
        <xdr:cNvPr id="3078" name="Picture 6" descr="clip_image001.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13100" y="2794000"/>
          <a:ext cx="635000" cy="33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406400</xdr:colOff>
      <xdr:row>11</xdr:row>
      <xdr:rowOff>215900</xdr:rowOff>
    </xdr:from>
    <xdr:to>
      <xdr:col>6</xdr:col>
      <xdr:colOff>215900</xdr:colOff>
      <xdr:row>13</xdr:row>
      <xdr:rowOff>25400</xdr:rowOff>
    </xdr:to>
    <xdr:pic>
      <xdr:nvPicPr>
        <xdr:cNvPr id="3079" name="Picture 7" descr="clip_image001.png"/>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533900" y="2819400"/>
          <a:ext cx="6350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558800</xdr:colOff>
      <xdr:row>14</xdr:row>
      <xdr:rowOff>0</xdr:rowOff>
    </xdr:from>
    <xdr:to>
      <xdr:col>6</xdr:col>
      <xdr:colOff>88900</xdr:colOff>
      <xdr:row>15</xdr:row>
      <xdr:rowOff>0</xdr:rowOff>
    </xdr:to>
    <xdr:pic>
      <xdr:nvPicPr>
        <xdr:cNvPr id="3080" name="Picture 8" descr="clip_image001.pn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209800" y="3289300"/>
          <a:ext cx="28321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609600</xdr:colOff>
      <xdr:row>15</xdr:row>
      <xdr:rowOff>0</xdr:rowOff>
    </xdr:from>
    <xdr:to>
      <xdr:col>6</xdr:col>
      <xdr:colOff>76200</xdr:colOff>
      <xdr:row>16</xdr:row>
      <xdr:rowOff>25400</xdr:rowOff>
    </xdr:to>
    <xdr:pic>
      <xdr:nvPicPr>
        <xdr:cNvPr id="3081" name="Picture 9" descr="clip_image001.pn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260600" y="3517900"/>
          <a:ext cx="27686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228600</xdr:colOff>
      <xdr:row>16</xdr:row>
      <xdr:rowOff>0</xdr:rowOff>
    </xdr:from>
    <xdr:to>
      <xdr:col>10</xdr:col>
      <xdr:colOff>190500</xdr:colOff>
      <xdr:row>17</xdr:row>
      <xdr:rowOff>25400</xdr:rowOff>
    </xdr:to>
    <xdr:pic>
      <xdr:nvPicPr>
        <xdr:cNvPr id="3083" name="Picture 11" descr="clip_image001.pn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07100" y="3746500"/>
          <a:ext cx="24384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165100</xdr:colOff>
      <xdr:row>16</xdr:row>
      <xdr:rowOff>0</xdr:rowOff>
    </xdr:from>
    <xdr:to>
      <xdr:col>11</xdr:col>
      <xdr:colOff>228600</xdr:colOff>
      <xdr:row>17</xdr:row>
      <xdr:rowOff>12700</xdr:rowOff>
    </xdr:to>
    <xdr:pic>
      <xdr:nvPicPr>
        <xdr:cNvPr id="3084" name="Picture 12" descr="clip_image001.pn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420100" y="3746500"/>
          <a:ext cx="8890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190500</xdr:colOff>
      <xdr:row>17</xdr:row>
      <xdr:rowOff>0</xdr:rowOff>
    </xdr:from>
    <xdr:to>
      <xdr:col>8</xdr:col>
      <xdr:colOff>63500</xdr:colOff>
      <xdr:row>18</xdr:row>
      <xdr:rowOff>12700</xdr:rowOff>
    </xdr:to>
    <xdr:pic>
      <xdr:nvPicPr>
        <xdr:cNvPr id="3085" name="Picture 13" descr="clip_image001.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69000" y="3975100"/>
          <a:ext cx="6985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711200</xdr:colOff>
      <xdr:row>20</xdr:row>
      <xdr:rowOff>0</xdr:rowOff>
    </xdr:from>
    <xdr:to>
      <xdr:col>5</xdr:col>
      <xdr:colOff>0</xdr:colOff>
      <xdr:row>22</xdr:row>
      <xdr:rowOff>12700</xdr:rowOff>
    </xdr:to>
    <xdr:pic>
      <xdr:nvPicPr>
        <xdr:cNvPr id="3086" name="Picture 14" descr="clip_image001.png"/>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362200" y="4660900"/>
          <a:ext cx="1765300" cy="46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393700</xdr:colOff>
      <xdr:row>20</xdr:row>
      <xdr:rowOff>0</xdr:rowOff>
    </xdr:from>
    <xdr:to>
      <xdr:col>7</xdr:col>
      <xdr:colOff>444500</xdr:colOff>
      <xdr:row>22</xdr:row>
      <xdr:rowOff>12700</xdr:rowOff>
    </xdr:to>
    <xdr:pic>
      <xdr:nvPicPr>
        <xdr:cNvPr id="3087" name="Picture 15" descr="clip_image001.png"/>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521200" y="4660900"/>
          <a:ext cx="1701800" cy="46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22</xdr:row>
      <xdr:rowOff>0</xdr:rowOff>
    </xdr:from>
    <xdr:to>
      <xdr:col>5</xdr:col>
      <xdr:colOff>381000</xdr:colOff>
      <xdr:row>23</xdr:row>
      <xdr:rowOff>25400</xdr:rowOff>
    </xdr:to>
    <xdr:pic>
      <xdr:nvPicPr>
        <xdr:cNvPr id="3089" name="Picture 17" descr="clip_image001.png"/>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302000" y="5118100"/>
          <a:ext cx="12065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774700</xdr:colOff>
      <xdr:row>23</xdr:row>
      <xdr:rowOff>0</xdr:rowOff>
    </xdr:from>
    <xdr:to>
      <xdr:col>6</xdr:col>
      <xdr:colOff>368300</xdr:colOff>
      <xdr:row>25</xdr:row>
      <xdr:rowOff>12700</xdr:rowOff>
    </xdr:to>
    <xdr:pic>
      <xdr:nvPicPr>
        <xdr:cNvPr id="3090" name="Picture 18" descr="clip_image001.png"/>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425700" y="5346700"/>
          <a:ext cx="2895600" cy="46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774700</xdr:colOff>
      <xdr:row>26</xdr:row>
      <xdr:rowOff>0</xdr:rowOff>
    </xdr:from>
    <xdr:to>
      <xdr:col>6</xdr:col>
      <xdr:colOff>647700</xdr:colOff>
      <xdr:row>28</xdr:row>
      <xdr:rowOff>12700</xdr:rowOff>
    </xdr:to>
    <xdr:pic>
      <xdr:nvPicPr>
        <xdr:cNvPr id="3091" name="Picture 19" descr="clip_image001.png"/>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425700" y="6032500"/>
          <a:ext cx="3175000" cy="46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317500</xdr:colOff>
      <xdr:row>28</xdr:row>
      <xdr:rowOff>0</xdr:rowOff>
    </xdr:from>
    <xdr:to>
      <xdr:col>7</xdr:col>
      <xdr:colOff>304800</xdr:colOff>
      <xdr:row>29</xdr:row>
      <xdr:rowOff>38100</xdr:rowOff>
    </xdr:to>
    <xdr:pic>
      <xdr:nvPicPr>
        <xdr:cNvPr id="3092" name="Picture 20" descr="clip_image001.png"/>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270500" y="6489700"/>
          <a:ext cx="812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419100</xdr:colOff>
      <xdr:row>28</xdr:row>
      <xdr:rowOff>0</xdr:rowOff>
    </xdr:from>
    <xdr:to>
      <xdr:col>6</xdr:col>
      <xdr:colOff>12700</xdr:colOff>
      <xdr:row>30</xdr:row>
      <xdr:rowOff>12700</xdr:rowOff>
    </xdr:to>
    <xdr:pic>
      <xdr:nvPicPr>
        <xdr:cNvPr id="3093" name="Picture 21" descr="clip_image001.png"/>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070100" y="6489700"/>
          <a:ext cx="2895600" cy="46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30</xdr:row>
      <xdr:rowOff>0</xdr:rowOff>
    </xdr:from>
    <xdr:to>
      <xdr:col>11</xdr:col>
      <xdr:colOff>419100</xdr:colOff>
      <xdr:row>32</xdr:row>
      <xdr:rowOff>12700</xdr:rowOff>
    </xdr:to>
    <xdr:sp macro="" textlink="">
      <xdr:nvSpPr>
        <xdr:cNvPr id="3094" name="AutoShape 22"/>
        <xdr:cNvSpPr>
          <a:spLocks noChangeAspect="1" noChangeArrowheads="1"/>
        </xdr:cNvSpPr>
      </xdr:nvSpPr>
      <xdr:spPr bwMode="auto">
        <a:xfrm>
          <a:off x="6604000" y="6946900"/>
          <a:ext cx="2895600" cy="469900"/>
        </a:xfrm>
        <a:prstGeom prst="rect">
          <a:avLst/>
        </a:prstGeom>
        <a:noFill/>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clientData/>
  </xdr:twoCellAnchor>
  <xdr:twoCellAnchor editAs="oneCell">
    <xdr:from>
      <xdr:col>15</xdr:col>
      <xdr:colOff>215900</xdr:colOff>
      <xdr:row>30</xdr:row>
      <xdr:rowOff>0</xdr:rowOff>
    </xdr:from>
    <xdr:to>
      <xdr:col>16</xdr:col>
      <xdr:colOff>88900</xdr:colOff>
      <xdr:row>31</xdr:row>
      <xdr:rowOff>25400</xdr:rowOff>
    </xdr:to>
    <xdr:pic>
      <xdr:nvPicPr>
        <xdr:cNvPr id="3096" name="Picture 24" descr="clip_image001.png"/>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2598400" y="6946900"/>
          <a:ext cx="6985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35</xdr:row>
      <xdr:rowOff>0</xdr:rowOff>
    </xdr:from>
    <xdr:to>
      <xdr:col>15</xdr:col>
      <xdr:colOff>698500</xdr:colOff>
      <xdr:row>36</xdr:row>
      <xdr:rowOff>25400</xdr:rowOff>
    </xdr:to>
    <xdr:pic>
      <xdr:nvPicPr>
        <xdr:cNvPr id="3097" name="Picture 25" descr="clip_image001.png"/>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2382500" y="8089900"/>
          <a:ext cx="6985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12700</xdr:colOff>
      <xdr:row>118</xdr:row>
      <xdr:rowOff>114300</xdr:rowOff>
    </xdr:from>
    <xdr:to>
      <xdr:col>4</xdr:col>
      <xdr:colOff>1193800</xdr:colOff>
      <xdr:row>120</xdr:row>
      <xdr:rowOff>152400</xdr:rowOff>
    </xdr:to>
    <xdr:pic>
      <xdr:nvPicPr>
        <xdr:cNvPr id="2049" name="Picture 1" descr="clip_image001.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89200" y="27292300"/>
          <a:ext cx="232410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190500</xdr:colOff>
      <xdr:row>170</xdr:row>
      <xdr:rowOff>0</xdr:rowOff>
    </xdr:from>
    <xdr:to>
      <xdr:col>3</xdr:col>
      <xdr:colOff>1041400</xdr:colOff>
      <xdr:row>171</xdr:row>
      <xdr:rowOff>12700</xdr:rowOff>
    </xdr:to>
    <xdr:pic>
      <xdr:nvPicPr>
        <xdr:cNvPr id="2052" name="Picture 4" descr="clip_image001.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1500" y="39090600"/>
          <a:ext cx="16764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38100</xdr:colOff>
      <xdr:row>170</xdr:row>
      <xdr:rowOff>12700</xdr:rowOff>
    </xdr:from>
    <xdr:to>
      <xdr:col>8</xdr:col>
      <xdr:colOff>152400</xdr:colOff>
      <xdr:row>171</xdr:row>
      <xdr:rowOff>152400</xdr:rowOff>
    </xdr:to>
    <xdr:pic>
      <xdr:nvPicPr>
        <xdr:cNvPr id="2053" name="Picture 5" descr="clip_image001.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37400" y="39103300"/>
          <a:ext cx="1397000"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469900</xdr:colOff>
      <xdr:row>172</xdr:row>
      <xdr:rowOff>12700</xdr:rowOff>
    </xdr:from>
    <xdr:to>
      <xdr:col>8</xdr:col>
      <xdr:colOff>393700</xdr:colOff>
      <xdr:row>173</xdr:row>
      <xdr:rowOff>12700</xdr:rowOff>
    </xdr:to>
    <xdr:pic>
      <xdr:nvPicPr>
        <xdr:cNvPr id="2056" name="Picture 8" descr="clip_image001.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489700" y="39560500"/>
          <a:ext cx="2387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698500</xdr:colOff>
      <xdr:row>172</xdr:row>
      <xdr:rowOff>215900</xdr:rowOff>
    </xdr:from>
    <xdr:to>
      <xdr:col>8</xdr:col>
      <xdr:colOff>228600</xdr:colOff>
      <xdr:row>175</xdr:row>
      <xdr:rowOff>63500</xdr:rowOff>
    </xdr:to>
    <xdr:pic>
      <xdr:nvPicPr>
        <xdr:cNvPr id="2057" name="Picture 9" descr="clip_image001.pn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524500" y="39763700"/>
          <a:ext cx="318770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175</xdr:row>
      <xdr:rowOff>114300</xdr:rowOff>
    </xdr:from>
    <xdr:to>
      <xdr:col>4</xdr:col>
      <xdr:colOff>292100</xdr:colOff>
      <xdr:row>177</xdr:row>
      <xdr:rowOff>215900</xdr:rowOff>
    </xdr:to>
    <xdr:pic>
      <xdr:nvPicPr>
        <xdr:cNvPr id="2058" name="Picture 10" descr="clip_image001.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184400" y="40347900"/>
          <a:ext cx="1727200" cy="55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279400</xdr:colOff>
      <xdr:row>175</xdr:row>
      <xdr:rowOff>38100</xdr:rowOff>
    </xdr:from>
    <xdr:to>
      <xdr:col>6</xdr:col>
      <xdr:colOff>850900</xdr:colOff>
      <xdr:row>177</xdr:row>
      <xdr:rowOff>203200</xdr:rowOff>
    </xdr:to>
    <xdr:pic>
      <xdr:nvPicPr>
        <xdr:cNvPr id="2060" name="Picture 12" descr="clip_image001.png"/>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105400" y="40271700"/>
          <a:ext cx="1765300" cy="622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266700</xdr:colOff>
      <xdr:row>178</xdr:row>
      <xdr:rowOff>76200</xdr:rowOff>
    </xdr:from>
    <xdr:to>
      <xdr:col>5</xdr:col>
      <xdr:colOff>317500</xdr:colOff>
      <xdr:row>180</xdr:row>
      <xdr:rowOff>139700</xdr:rowOff>
    </xdr:to>
    <xdr:pic>
      <xdr:nvPicPr>
        <xdr:cNvPr id="2061" name="Picture 13" descr="clip_image001.pn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86200" y="40995600"/>
          <a:ext cx="1257300" cy="52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Q56"/>
  <sheetViews>
    <sheetView workbookViewId="0">
      <selection activeCell="A2" sqref="A2"/>
    </sheetView>
  </sheetViews>
  <sheetFormatPr baseColWidth="10" defaultRowHeight="15" x14ac:dyDescent="0"/>
  <cols>
    <col min="3" max="3" width="25.33203125" customWidth="1"/>
    <col min="4" max="4" width="19.83203125" customWidth="1"/>
    <col min="5" max="5" width="16.83203125" customWidth="1"/>
    <col min="6" max="6" width="15.6640625" customWidth="1"/>
    <col min="7" max="7" width="14.5" customWidth="1"/>
    <col min="10" max="10" width="12.1640625" customWidth="1"/>
    <col min="11" max="11" width="13.33203125" customWidth="1"/>
  </cols>
  <sheetData>
    <row r="1" spans="1:14" ht="25">
      <c r="A1" s="1" t="s">
        <v>59</v>
      </c>
      <c r="B1" s="2"/>
    </row>
    <row r="2" spans="1:14" ht="18">
      <c r="A2" s="3"/>
      <c r="C2" s="20" t="s">
        <v>4</v>
      </c>
      <c r="D2" s="20"/>
      <c r="E2" s="20"/>
      <c r="F2" s="20"/>
      <c r="G2" s="20"/>
      <c r="H2" s="20"/>
      <c r="I2" s="21"/>
      <c r="J2" s="21"/>
      <c r="K2" s="21"/>
      <c r="L2" s="21"/>
    </row>
    <row r="3" spans="1:14" ht="19" thickBot="1">
      <c r="A3" s="3"/>
      <c r="B3" s="5"/>
      <c r="C3" s="5"/>
      <c r="D3" s="5"/>
      <c r="E3" s="5"/>
      <c r="F3" s="5"/>
      <c r="G3" s="5"/>
      <c r="H3" s="5"/>
    </row>
    <row r="4" spans="1:14" ht="18">
      <c r="A4" s="3"/>
      <c r="B4" s="5"/>
      <c r="C4" s="5"/>
      <c r="D4" s="7" t="s">
        <v>1</v>
      </c>
      <c r="E4" s="9" t="s">
        <v>6</v>
      </c>
    </row>
    <row r="5" spans="1:14" ht="18">
      <c r="A5" s="3"/>
      <c r="B5" s="3"/>
      <c r="C5" s="3"/>
      <c r="D5" s="10">
        <v>0.5</v>
      </c>
      <c r="E5" s="18">
        <v>1.0999999999999999E-2</v>
      </c>
    </row>
    <row r="6" spans="1:14" ht="18">
      <c r="A6" s="3"/>
      <c r="B6" s="3"/>
      <c r="C6" s="3"/>
      <c r="D6" s="10">
        <v>1</v>
      </c>
      <c r="E6" s="18">
        <v>1.4999999999999999E-2</v>
      </c>
    </row>
    <row r="7" spans="1:14" ht="18">
      <c r="A7" s="3"/>
      <c r="B7" s="3"/>
      <c r="C7" s="3"/>
      <c r="D7" s="10">
        <v>2</v>
      </c>
      <c r="E7" s="18">
        <v>2.1999999999999999E-2</v>
      </c>
    </row>
    <row r="8" spans="1:14" ht="18">
      <c r="A8" s="3"/>
      <c r="B8" s="3"/>
      <c r="C8" s="3"/>
      <c r="D8" s="10">
        <v>3</v>
      </c>
      <c r="E8" s="18">
        <v>2.4E-2</v>
      </c>
    </row>
    <row r="9" spans="1:14" ht="19" thickBot="1">
      <c r="A9" s="3"/>
      <c r="B9" s="3"/>
      <c r="C9" s="3"/>
      <c r="D9" s="12">
        <v>5</v>
      </c>
      <c r="E9" s="19">
        <v>2.9000000000000001E-2</v>
      </c>
    </row>
    <row r="10" spans="1:14" ht="18">
      <c r="A10" s="3"/>
      <c r="B10" s="3"/>
      <c r="C10" s="3"/>
      <c r="D10" s="16"/>
      <c r="E10" s="17"/>
    </row>
    <row r="11" spans="1:14" ht="18">
      <c r="A11" s="3"/>
      <c r="B11" s="4" t="s">
        <v>0</v>
      </c>
      <c r="C11" s="4" t="s">
        <v>7</v>
      </c>
      <c r="D11" s="22"/>
      <c r="E11" s="23"/>
      <c r="F11" s="24"/>
      <c r="G11" s="24"/>
      <c r="H11" s="24"/>
      <c r="I11" s="24"/>
      <c r="J11" s="24"/>
      <c r="K11" s="24"/>
      <c r="L11" s="26"/>
      <c r="M11" s="26"/>
      <c r="N11" s="21"/>
    </row>
    <row r="12" spans="1:14" ht="19" thickBot="1">
      <c r="A12" s="3"/>
      <c r="B12" s="14"/>
      <c r="C12" s="14"/>
      <c r="D12" s="27"/>
      <c r="E12" s="28"/>
      <c r="F12" s="29"/>
      <c r="G12" s="29"/>
      <c r="H12" s="29"/>
      <c r="I12" s="29"/>
      <c r="J12" s="29"/>
      <c r="K12" s="29"/>
      <c r="L12" s="29"/>
      <c r="M12" s="29"/>
      <c r="N12" s="29"/>
    </row>
    <row r="13" spans="1:14" ht="18">
      <c r="A13" s="3"/>
      <c r="B13" s="14"/>
      <c r="C13" s="7" t="s">
        <v>5</v>
      </c>
      <c r="D13" s="8" t="s">
        <v>6</v>
      </c>
      <c r="E13" s="34" t="s">
        <v>8</v>
      </c>
      <c r="F13" s="34" t="s">
        <v>9</v>
      </c>
      <c r="G13" s="15" t="s">
        <v>10</v>
      </c>
      <c r="H13" s="20"/>
      <c r="I13" s="20"/>
      <c r="J13" s="20"/>
      <c r="K13" s="14"/>
      <c r="L13" s="14"/>
      <c r="M13" s="14"/>
      <c r="N13" s="29"/>
    </row>
    <row r="14" spans="1:14" ht="18">
      <c r="A14" s="3"/>
      <c r="B14" s="14"/>
      <c r="C14" s="10">
        <v>1</v>
      </c>
      <c r="D14" s="11">
        <v>1.4999999999999999E-2</v>
      </c>
      <c r="E14" s="32">
        <f>EXP(-D14*C14)</f>
        <v>0.98511193960306265</v>
      </c>
      <c r="F14" s="33">
        <v>3.5</v>
      </c>
      <c r="G14" s="35">
        <f>F14*E14</f>
        <v>3.4478917886107192</v>
      </c>
      <c r="H14" s="14"/>
      <c r="I14" s="14"/>
      <c r="J14" s="14"/>
      <c r="K14" s="14"/>
      <c r="L14" s="14"/>
      <c r="M14" s="14"/>
      <c r="N14" s="29"/>
    </row>
    <row r="15" spans="1:14" ht="18">
      <c r="A15" s="3"/>
      <c r="B15" s="14"/>
      <c r="C15" s="10">
        <v>2</v>
      </c>
      <c r="D15" s="11">
        <v>2.1999999999999999E-2</v>
      </c>
      <c r="E15" s="32">
        <f>EXP(-D15*C15)</f>
        <v>0.95695395747304668</v>
      </c>
      <c r="F15" s="33">
        <v>3.5</v>
      </c>
      <c r="G15" s="35">
        <f>F15*E15</f>
        <v>3.3493388511556632</v>
      </c>
      <c r="H15" s="14"/>
      <c r="I15" s="14"/>
      <c r="J15" s="14"/>
      <c r="K15" s="14"/>
      <c r="L15" s="14"/>
      <c r="M15" s="14"/>
      <c r="N15" s="29"/>
    </row>
    <row r="16" spans="1:14" ht="19" thickBot="1">
      <c r="A16" s="3"/>
      <c r="B16" s="14"/>
      <c r="C16" s="12">
        <v>3</v>
      </c>
      <c r="D16" s="13">
        <v>2.4E-2</v>
      </c>
      <c r="E16" s="36">
        <f>EXP(-D16*C16)</f>
        <v>0.93053089581120574</v>
      </c>
      <c r="F16" s="37">
        <v>103.5</v>
      </c>
      <c r="G16" s="38">
        <f>F16*E16</f>
        <v>96.309947716459789</v>
      </c>
      <c r="H16" s="14"/>
      <c r="I16" s="14"/>
      <c r="J16" s="14"/>
      <c r="K16" s="14"/>
      <c r="L16" s="14"/>
      <c r="M16" s="14"/>
      <c r="N16" s="29"/>
    </row>
    <row r="17" spans="1:14" ht="18">
      <c r="A17" s="3"/>
      <c r="B17" s="14"/>
      <c r="C17" s="14"/>
      <c r="D17" s="27"/>
      <c r="E17" s="27"/>
      <c r="F17" s="14"/>
      <c r="G17" s="14"/>
      <c r="H17" s="14"/>
      <c r="I17" s="14"/>
      <c r="J17" s="14"/>
      <c r="K17" s="14"/>
      <c r="L17" s="14"/>
      <c r="M17" s="14"/>
      <c r="N17" s="29"/>
    </row>
    <row r="18" spans="1:14" ht="18">
      <c r="A18" s="3"/>
      <c r="B18" s="14"/>
      <c r="C18" s="3"/>
      <c r="D18" s="3"/>
      <c r="E18" s="27"/>
      <c r="F18" s="49" t="s">
        <v>11</v>
      </c>
      <c r="G18" s="40">
        <f>SUM(G14:G16)</f>
        <v>103.10717835622617</v>
      </c>
      <c r="H18" s="14"/>
      <c r="I18" s="14"/>
      <c r="J18" s="14"/>
      <c r="K18" s="14"/>
      <c r="L18" s="14"/>
      <c r="M18" s="14"/>
      <c r="N18" s="29"/>
    </row>
    <row r="19" spans="1:14" ht="18">
      <c r="A19" s="3"/>
      <c r="B19" s="14"/>
      <c r="C19" s="3"/>
      <c r="D19" s="3"/>
      <c r="E19" s="27"/>
      <c r="F19" s="14"/>
      <c r="G19" s="14"/>
      <c r="H19" s="14"/>
      <c r="I19" s="14"/>
      <c r="J19" s="14"/>
      <c r="K19" s="14"/>
      <c r="L19" s="14"/>
      <c r="M19" s="14"/>
      <c r="N19" s="29"/>
    </row>
    <row r="20" spans="1:14" ht="18">
      <c r="A20" s="3"/>
      <c r="B20" s="4" t="s">
        <v>2</v>
      </c>
      <c r="C20" s="4" t="s">
        <v>12</v>
      </c>
      <c r="D20" s="4"/>
      <c r="E20" s="4"/>
      <c r="F20" s="4"/>
      <c r="G20" s="4"/>
      <c r="H20" s="4"/>
      <c r="I20" s="4"/>
      <c r="J20" s="20"/>
      <c r="K20" s="26"/>
    </row>
    <row r="21" spans="1:14" ht="18">
      <c r="A21" s="3"/>
      <c r="B21" s="20"/>
      <c r="C21" s="20"/>
      <c r="D21" s="20"/>
      <c r="E21" s="20"/>
      <c r="F21" s="20"/>
      <c r="G21" s="20"/>
      <c r="H21" s="20"/>
      <c r="I21" s="20"/>
      <c r="J21" s="20"/>
      <c r="K21" s="26"/>
    </row>
    <row r="22" spans="1:14" ht="18">
      <c r="A22" s="3"/>
      <c r="B22" s="20"/>
      <c r="C22" s="41" t="s">
        <v>13</v>
      </c>
      <c r="D22" s="41"/>
      <c r="E22" s="41"/>
      <c r="F22" s="41"/>
      <c r="G22" s="43"/>
      <c r="H22" s="43"/>
      <c r="I22" s="43"/>
      <c r="J22" s="43"/>
      <c r="K22" s="26"/>
    </row>
    <row r="23" spans="1:14" ht="18">
      <c r="A23" s="3"/>
      <c r="B23" s="20"/>
      <c r="C23" s="41" t="s">
        <v>14</v>
      </c>
      <c r="D23" s="41"/>
      <c r="E23" s="41"/>
      <c r="F23" s="41"/>
      <c r="G23" s="44"/>
      <c r="H23" s="44"/>
      <c r="I23" s="45"/>
      <c r="J23" s="46"/>
      <c r="K23" s="26"/>
    </row>
    <row r="24" spans="1:14" ht="18">
      <c r="A24" s="3"/>
      <c r="B24" s="3"/>
      <c r="C24" s="41" t="s">
        <v>15</v>
      </c>
      <c r="D24" s="41"/>
      <c r="E24" s="41"/>
      <c r="F24" s="41"/>
      <c r="G24" s="41"/>
      <c r="H24" s="44"/>
      <c r="I24" s="42"/>
      <c r="J24" s="42"/>
      <c r="K24" s="3"/>
      <c r="L24" s="3"/>
      <c r="M24" s="3"/>
    </row>
    <row r="25" spans="1:14" ht="18">
      <c r="A25" s="3"/>
      <c r="B25" s="3"/>
      <c r="C25" s="41" t="s">
        <v>17</v>
      </c>
      <c r="D25" s="41"/>
      <c r="E25" s="41"/>
      <c r="F25" s="43"/>
      <c r="G25" s="43"/>
      <c r="H25" s="43"/>
      <c r="I25" s="42"/>
      <c r="J25" s="42"/>
      <c r="K25" s="3"/>
      <c r="L25" s="3"/>
      <c r="M25" s="3"/>
    </row>
    <row r="26" spans="1:14" ht="19" thickBot="1">
      <c r="A26" s="3"/>
      <c r="B26" s="3"/>
      <c r="C26" s="3"/>
      <c r="D26" s="3"/>
      <c r="E26" s="3"/>
      <c r="F26" s="3"/>
      <c r="G26" s="3"/>
      <c r="H26" s="3"/>
      <c r="I26" s="3"/>
    </row>
    <row r="27" spans="1:14" ht="18">
      <c r="A27" s="3"/>
      <c r="B27" s="3"/>
      <c r="C27" s="7" t="s">
        <v>1</v>
      </c>
      <c r="D27" s="8" t="s">
        <v>6</v>
      </c>
      <c r="E27" s="15" t="s">
        <v>8</v>
      </c>
      <c r="F27" s="3"/>
      <c r="G27" s="3"/>
    </row>
    <row r="28" spans="1:14" ht="18">
      <c r="A28" s="3"/>
      <c r="C28" s="10">
        <v>0.5</v>
      </c>
      <c r="D28" s="11">
        <v>1.0999999999999999E-2</v>
      </c>
      <c r="E28" s="50">
        <f>EXP(-D28*C28)</f>
        <v>0.99451509730891907</v>
      </c>
    </row>
    <row r="29" spans="1:14" ht="18">
      <c r="A29" s="3"/>
      <c r="C29" s="10">
        <v>1</v>
      </c>
      <c r="D29" s="11">
        <v>1.4999999999999999E-2</v>
      </c>
      <c r="E29" s="50">
        <f>EXP(-D29*C29)</f>
        <v>0.98511193960306265</v>
      </c>
    </row>
    <row r="30" spans="1:14" ht="18">
      <c r="A30" s="3"/>
      <c r="C30" s="10">
        <v>1.5</v>
      </c>
      <c r="D30" s="11">
        <f>(D31-D29)/(C31-C29)*(C30-C29)+D29</f>
        <v>1.8499999999999999E-2</v>
      </c>
      <c r="E30" s="50">
        <f>EXP(-D30*C30)</f>
        <v>0.97263149428261608</v>
      </c>
    </row>
    <row r="31" spans="1:14" ht="19" thickBot="1">
      <c r="A31" s="3"/>
      <c r="C31" s="12">
        <v>2</v>
      </c>
      <c r="D31" s="13">
        <v>2.1999999999999999E-2</v>
      </c>
      <c r="E31" s="51">
        <f>EXP(-D31*C31)</f>
        <v>0.95695395747304668</v>
      </c>
    </row>
    <row r="32" spans="1:14" ht="18">
      <c r="A32" s="3"/>
      <c r="C32" s="30"/>
      <c r="D32" s="30"/>
      <c r="E32" s="31"/>
    </row>
    <row r="33" spans="1:17" ht="18">
      <c r="A33" s="3"/>
      <c r="C33" s="3"/>
      <c r="D33" s="25" t="s">
        <v>16</v>
      </c>
      <c r="E33" s="27">
        <f>1/2*SUM(E28:E31)</f>
        <v>1.9546062443338221</v>
      </c>
    </row>
    <row r="34" spans="1:17" ht="18">
      <c r="A34" s="3"/>
      <c r="C34" s="3"/>
      <c r="D34" s="49" t="s">
        <v>18</v>
      </c>
      <c r="E34" s="52">
        <f>(1-E31)/E33</f>
        <v>2.2022871691799221E-2</v>
      </c>
    </row>
    <row r="35" spans="1:17" ht="18">
      <c r="A35" s="3"/>
      <c r="C35" s="3"/>
      <c r="D35" s="3"/>
    </row>
    <row r="36" spans="1:17" ht="18">
      <c r="A36" s="3"/>
      <c r="B36" s="4" t="s">
        <v>3</v>
      </c>
      <c r="C36" s="4" t="s">
        <v>19</v>
      </c>
      <c r="D36" s="4"/>
      <c r="E36" s="4"/>
      <c r="F36" s="4"/>
      <c r="G36" s="24"/>
      <c r="H36" s="24"/>
      <c r="I36" s="24"/>
      <c r="J36" s="24"/>
      <c r="K36" s="24"/>
      <c r="L36" s="26"/>
    </row>
    <row r="37" spans="1:17" ht="18">
      <c r="A37" s="3"/>
      <c r="B37" s="3"/>
      <c r="C37" s="3"/>
      <c r="D37" s="3"/>
      <c r="E37" s="3"/>
      <c r="F37" s="3"/>
      <c r="G37" s="3"/>
      <c r="H37" s="3"/>
    </row>
    <row r="38" spans="1:17" ht="18">
      <c r="A38" s="3"/>
      <c r="B38" s="3"/>
      <c r="C38" s="6" t="s">
        <v>20</v>
      </c>
      <c r="D38" s="6"/>
      <c r="E38" s="6"/>
      <c r="F38" s="6"/>
      <c r="G38" s="6"/>
      <c r="H38" s="6"/>
      <c r="I38" s="48"/>
      <c r="J38" s="48"/>
      <c r="K38" s="47"/>
    </row>
    <row r="39" spans="1:17" ht="18">
      <c r="A39" s="3"/>
      <c r="B39" s="3"/>
      <c r="C39" s="6" t="s">
        <v>45</v>
      </c>
      <c r="D39" s="6"/>
      <c r="E39" s="6"/>
      <c r="F39" s="6"/>
      <c r="G39" s="6"/>
      <c r="H39" s="6"/>
      <c r="I39" s="48"/>
      <c r="J39" s="48"/>
      <c r="K39" s="47"/>
      <c r="L39" s="47"/>
      <c r="M39" s="47"/>
      <c r="N39" s="47"/>
      <c r="O39" s="47"/>
      <c r="P39" s="47"/>
      <c r="Q39" s="47"/>
    </row>
    <row r="40" spans="1:17" ht="19" thickBot="1">
      <c r="A40" s="3"/>
      <c r="B40" s="3"/>
      <c r="C40" s="3"/>
      <c r="D40" s="3"/>
      <c r="E40" s="3"/>
      <c r="F40" s="3"/>
      <c r="G40" s="3"/>
      <c r="H40" s="3"/>
    </row>
    <row r="41" spans="1:17" ht="18">
      <c r="A41" s="3"/>
      <c r="C41" s="7" t="s">
        <v>1</v>
      </c>
      <c r="D41" s="8" t="s">
        <v>6</v>
      </c>
      <c r="E41" s="34" t="s">
        <v>8</v>
      </c>
      <c r="F41" s="34" t="s">
        <v>9</v>
      </c>
      <c r="G41" s="15" t="s">
        <v>10</v>
      </c>
    </row>
    <row r="42" spans="1:17" ht="18">
      <c r="A42" s="3"/>
      <c r="B42" s="3"/>
      <c r="C42" s="10">
        <v>0.5</v>
      </c>
      <c r="D42" s="11">
        <v>1.0999999999999999E-2</v>
      </c>
      <c r="E42" s="32">
        <f>EXP(-D42*C42)</f>
        <v>0.99451509730891907</v>
      </c>
      <c r="F42" s="33">
        <v>2.5</v>
      </c>
      <c r="G42" s="35">
        <f>F42*E42</f>
        <v>2.4862877432722978</v>
      </c>
    </row>
    <row r="43" spans="1:17" ht="19" thickBot="1">
      <c r="A43" s="3"/>
      <c r="B43" s="3"/>
      <c r="C43" s="12">
        <v>1</v>
      </c>
      <c r="D43" s="13">
        <v>1.4999999999999999E-2</v>
      </c>
      <c r="E43" s="36">
        <f>EXP(-D43*C43)</f>
        <v>0.98511193960306265</v>
      </c>
      <c r="F43" s="37">
        <v>102.5</v>
      </c>
      <c r="G43" s="38">
        <f>F43*E43</f>
        <v>100.97397380931392</v>
      </c>
    </row>
    <row r="44" spans="1:17" ht="18">
      <c r="A44" s="3"/>
      <c r="B44" s="3"/>
      <c r="C44" s="3"/>
    </row>
    <row r="45" spans="1:17" ht="18">
      <c r="A45" s="3"/>
      <c r="B45" s="3"/>
      <c r="E45" s="16"/>
      <c r="F45" s="25" t="s">
        <v>11</v>
      </c>
      <c r="G45" s="81">
        <f>SUM(G42:G43)</f>
        <v>103.46026155258622</v>
      </c>
    </row>
    <row r="46" spans="1:17" ht="19" thickBot="1">
      <c r="A46" s="3"/>
      <c r="B46" s="3"/>
      <c r="C46" s="16"/>
      <c r="D46" s="16"/>
      <c r="E46" s="16"/>
      <c r="F46" s="16"/>
      <c r="G46" s="16"/>
    </row>
    <row r="47" spans="1:17" ht="18">
      <c r="A47" s="3"/>
      <c r="B47" s="3"/>
      <c r="C47" s="7" t="s">
        <v>1</v>
      </c>
      <c r="D47" s="8" t="s">
        <v>44</v>
      </c>
      <c r="E47" s="34" t="s">
        <v>8</v>
      </c>
      <c r="F47" s="34" t="s">
        <v>9</v>
      </c>
      <c r="G47" s="15" t="s">
        <v>10</v>
      </c>
      <c r="J47" s="5"/>
      <c r="K47" s="39"/>
    </row>
    <row r="48" spans="1:17" ht="18">
      <c r="A48" s="3"/>
      <c r="B48" s="3"/>
      <c r="C48" s="10">
        <v>0.5</v>
      </c>
      <c r="D48" s="11">
        <f>$D$51</f>
        <v>1.4951399490305977E-2</v>
      </c>
      <c r="E48" s="32">
        <f>EXP(-D48*C48)</f>
        <v>0.99255217379686078</v>
      </c>
      <c r="F48" s="33">
        <v>2.5</v>
      </c>
      <c r="G48" s="61">
        <f>F48*E48</f>
        <v>2.4813804344921522</v>
      </c>
    </row>
    <row r="49" spans="1:7" ht="19" thickBot="1">
      <c r="A49" s="3"/>
      <c r="B49" s="3"/>
      <c r="C49" s="12">
        <v>1</v>
      </c>
      <c r="D49" s="13">
        <f>$D$51</f>
        <v>1.4951399490305977E-2</v>
      </c>
      <c r="E49" s="36">
        <f>EXP(-D49*C49)</f>
        <v>0.98515981770887384</v>
      </c>
      <c r="F49" s="37">
        <v>102.5</v>
      </c>
      <c r="G49" s="62">
        <f>F49*E49</f>
        <v>100.97888131515957</v>
      </c>
    </row>
    <row r="50" spans="1:7" ht="18">
      <c r="A50" s="3"/>
      <c r="B50" s="3"/>
    </row>
    <row r="51" spans="1:7" ht="18">
      <c r="A51" s="3"/>
      <c r="B51" s="3"/>
      <c r="C51" s="49" t="s">
        <v>37</v>
      </c>
      <c r="D51" s="49">
        <v>1.4951399490305977E-2</v>
      </c>
      <c r="F51" s="25" t="s">
        <v>11</v>
      </c>
      <c r="G51" s="81">
        <f>SUM(G48:G49)</f>
        <v>103.46026174965172</v>
      </c>
    </row>
    <row r="52" spans="1:7" ht="18">
      <c r="A52" s="3"/>
      <c r="B52" s="3"/>
      <c r="C52" s="3"/>
      <c r="E52" s="58"/>
    </row>
    <row r="53" spans="1:7" ht="18">
      <c r="A53" s="3"/>
      <c r="B53" s="3"/>
      <c r="C53" s="3"/>
    </row>
    <row r="55" spans="1:7" ht="18">
      <c r="A55" s="3"/>
      <c r="B55" s="3"/>
      <c r="C55" s="3"/>
    </row>
    <row r="56" spans="1:7" ht="18">
      <c r="A56" s="3"/>
      <c r="B56" s="3"/>
      <c r="F56" s="3"/>
    </row>
  </sheetData>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Q37"/>
  <sheetViews>
    <sheetView topLeftCell="A11" workbookViewId="0">
      <selection activeCell="B4" sqref="B4:C4"/>
    </sheetView>
  </sheetViews>
  <sheetFormatPr baseColWidth="10" defaultRowHeight="15" x14ac:dyDescent="0"/>
  <cols>
    <col min="4" max="4" width="14.6640625" customWidth="1"/>
    <col min="5" max="5" width="16.6640625" customWidth="1"/>
    <col min="6" max="6" width="14.83203125" customWidth="1"/>
    <col min="7" max="7" width="14.5" customWidth="1"/>
    <col min="8" max="8" width="15" customWidth="1"/>
    <col min="11" max="11" width="14" customWidth="1"/>
    <col min="15" max="15" width="15" customWidth="1"/>
  </cols>
  <sheetData>
    <row r="1" spans="1:17" ht="25">
      <c r="A1" s="1" t="s">
        <v>60</v>
      </c>
      <c r="B1" s="2"/>
    </row>
    <row r="2" spans="1:17" ht="18">
      <c r="A2" s="3"/>
      <c r="C2" s="20" t="s">
        <v>21</v>
      </c>
      <c r="D2" s="20"/>
      <c r="E2" s="20"/>
      <c r="F2" s="20"/>
      <c r="G2" s="20"/>
      <c r="H2" s="20"/>
      <c r="I2" s="21"/>
      <c r="J2" s="21"/>
      <c r="K2" s="21"/>
      <c r="L2" s="21"/>
    </row>
    <row r="3" spans="1:17" ht="18">
      <c r="A3" s="3"/>
      <c r="B3" s="5"/>
      <c r="C3" s="5"/>
      <c r="D3" s="5"/>
      <c r="E3" s="5"/>
      <c r="F3" s="5"/>
      <c r="G3" s="5"/>
      <c r="H3" s="5"/>
    </row>
    <row r="4" spans="1:17" ht="18">
      <c r="A4" s="3"/>
      <c r="B4" s="4" t="s">
        <v>0</v>
      </c>
      <c r="C4" s="4" t="s">
        <v>22</v>
      </c>
      <c r="D4" s="22"/>
      <c r="E4" s="22"/>
      <c r="F4" s="4"/>
      <c r="G4" s="4"/>
      <c r="H4" s="24"/>
      <c r="I4" s="24"/>
      <c r="J4" s="24"/>
      <c r="K4" s="24"/>
      <c r="L4" s="24"/>
      <c r="M4" s="24"/>
      <c r="N4" s="54"/>
      <c r="O4" s="54"/>
      <c r="P4" s="21"/>
    </row>
    <row r="5" spans="1:17" ht="18">
      <c r="A5" s="3"/>
      <c r="B5" s="20"/>
      <c r="C5" s="6" t="s">
        <v>28</v>
      </c>
      <c r="D5" s="49"/>
      <c r="E5" s="49"/>
      <c r="F5" s="6"/>
      <c r="G5" s="6"/>
      <c r="H5" s="48"/>
      <c r="I5" s="48"/>
      <c r="J5" s="48"/>
      <c r="K5" s="48"/>
      <c r="L5" s="26"/>
      <c r="M5" s="26"/>
      <c r="N5" s="21"/>
      <c r="O5" s="21"/>
      <c r="P5" s="21"/>
    </row>
    <row r="6" spans="1:17" ht="19" thickBot="1">
      <c r="A6" s="3"/>
      <c r="B6" s="14"/>
      <c r="C6" s="14"/>
      <c r="D6" s="27"/>
      <c r="E6" s="28"/>
      <c r="F6" s="29"/>
      <c r="G6" s="29"/>
      <c r="H6" s="29"/>
      <c r="I6" s="29"/>
      <c r="J6" s="29"/>
      <c r="K6" s="29"/>
      <c r="L6" s="29"/>
      <c r="M6" s="29"/>
      <c r="N6" s="29"/>
    </row>
    <row r="7" spans="1:17" ht="18">
      <c r="A7" s="3"/>
      <c r="B7" s="14"/>
      <c r="C7" s="7" t="s">
        <v>5</v>
      </c>
      <c r="D7" s="34" t="s">
        <v>9</v>
      </c>
      <c r="E7" s="34" t="s">
        <v>11</v>
      </c>
      <c r="F7" s="34" t="s">
        <v>26</v>
      </c>
      <c r="G7" s="15" t="s">
        <v>27</v>
      </c>
      <c r="H7" s="27"/>
      <c r="I7" s="27"/>
      <c r="J7" s="14"/>
      <c r="K7" s="29"/>
    </row>
    <row r="8" spans="1:17" ht="19" thickBot="1">
      <c r="A8" s="3"/>
      <c r="B8" s="14"/>
      <c r="C8" s="12">
        <v>0.5</v>
      </c>
      <c r="D8" s="36">
        <v>100</v>
      </c>
      <c r="E8" s="36">
        <v>99.875</v>
      </c>
      <c r="F8" s="36">
        <f>E8/D8</f>
        <v>0.99875000000000003</v>
      </c>
      <c r="G8" s="56">
        <f>-LN(F8)/C8</f>
        <v>2.501563803305205E-3</v>
      </c>
      <c r="H8" s="27"/>
      <c r="I8" s="27"/>
      <c r="J8" s="14"/>
      <c r="K8" s="29"/>
    </row>
    <row r="9" spans="1:17" ht="18">
      <c r="A9" s="3"/>
      <c r="B9" s="14"/>
      <c r="C9" s="3"/>
      <c r="D9" s="3"/>
      <c r="E9" s="27"/>
      <c r="F9" s="14"/>
      <c r="G9" s="14"/>
      <c r="H9" s="14"/>
      <c r="I9" s="14"/>
      <c r="J9" s="14"/>
      <c r="K9" s="14"/>
      <c r="L9" s="14"/>
      <c r="M9" s="14"/>
      <c r="N9" s="29"/>
    </row>
    <row r="10" spans="1:17" ht="18">
      <c r="A10" s="3"/>
      <c r="B10" s="4" t="s">
        <v>2</v>
      </c>
      <c r="C10" s="4" t="s">
        <v>23</v>
      </c>
      <c r="D10" s="4"/>
      <c r="E10" s="4"/>
      <c r="F10" s="4"/>
      <c r="G10" s="4"/>
      <c r="H10" s="4"/>
      <c r="I10" s="4"/>
      <c r="J10" s="4"/>
      <c r="K10" s="24"/>
      <c r="L10" s="54"/>
      <c r="M10" s="54"/>
      <c r="N10" s="54"/>
      <c r="O10" s="54"/>
      <c r="P10" s="21"/>
      <c r="Q10" s="21"/>
    </row>
    <row r="11" spans="1:17" ht="18">
      <c r="A11" s="3"/>
      <c r="B11" s="20"/>
      <c r="C11" s="4" t="s">
        <v>32</v>
      </c>
      <c r="D11" s="4"/>
      <c r="E11" s="4"/>
      <c r="F11" s="4"/>
      <c r="G11" s="4"/>
      <c r="H11" s="4"/>
      <c r="I11" s="4"/>
      <c r="J11" s="4"/>
      <c r="K11" s="24"/>
      <c r="L11" s="54"/>
      <c r="M11" s="21"/>
      <c r="N11" s="21"/>
    </row>
    <row r="12" spans="1:17" ht="18">
      <c r="A12" s="3"/>
      <c r="B12" s="20"/>
      <c r="C12" s="20"/>
      <c r="D12" s="20"/>
      <c r="E12" s="20"/>
      <c r="F12" s="20"/>
      <c r="G12" s="20"/>
      <c r="H12" s="20"/>
      <c r="I12" s="20"/>
      <c r="J12" s="20"/>
      <c r="K12" s="26"/>
      <c r="L12" s="21"/>
      <c r="M12" s="21"/>
      <c r="N12" s="21"/>
    </row>
    <row r="13" spans="1:17" ht="18">
      <c r="A13" s="3"/>
      <c r="B13" s="20"/>
      <c r="C13" s="6" t="s">
        <v>35</v>
      </c>
      <c r="D13" s="6"/>
      <c r="E13" s="6"/>
      <c r="F13" s="6"/>
      <c r="G13" s="6"/>
      <c r="H13" s="6"/>
      <c r="I13" s="6"/>
      <c r="J13" s="6"/>
      <c r="K13" s="48"/>
    </row>
    <row r="14" spans="1:17" ht="18">
      <c r="A14" s="3"/>
      <c r="B14" s="20"/>
      <c r="C14" s="6" t="s">
        <v>34</v>
      </c>
      <c r="D14" s="6"/>
      <c r="E14" s="6"/>
      <c r="F14" s="6"/>
      <c r="G14" s="6"/>
      <c r="H14" s="6"/>
      <c r="I14" s="6"/>
      <c r="J14" s="6"/>
      <c r="K14" s="48"/>
      <c r="L14" s="47"/>
    </row>
    <row r="15" spans="1:17" ht="18">
      <c r="A15" s="3"/>
      <c r="B15" s="3"/>
      <c r="C15" s="6" t="s">
        <v>33</v>
      </c>
      <c r="D15" s="57"/>
      <c r="E15" s="57"/>
      <c r="F15" s="57"/>
      <c r="G15" s="57"/>
      <c r="H15" s="57"/>
      <c r="I15" s="57"/>
    </row>
    <row r="16" spans="1:17" ht="19" thickBot="1">
      <c r="A16" s="3"/>
      <c r="B16" s="3"/>
      <c r="C16" s="3"/>
      <c r="D16" s="3"/>
      <c r="E16" s="3"/>
      <c r="F16" s="3"/>
      <c r="G16" s="3"/>
      <c r="H16" s="3"/>
      <c r="I16" s="3"/>
    </row>
    <row r="17" spans="1:17" ht="18">
      <c r="A17" s="3"/>
      <c r="B17" s="3"/>
      <c r="C17" s="7" t="s">
        <v>5</v>
      </c>
      <c r="D17" s="34" t="s">
        <v>9</v>
      </c>
      <c r="E17" s="34" t="s">
        <v>30</v>
      </c>
      <c r="F17" s="34" t="s">
        <v>31</v>
      </c>
      <c r="G17" s="34" t="s">
        <v>26</v>
      </c>
      <c r="H17" s="15" t="s">
        <v>27</v>
      </c>
    </row>
    <row r="18" spans="1:17" ht="18">
      <c r="A18" s="3"/>
      <c r="C18" s="10">
        <v>0.5</v>
      </c>
      <c r="D18" s="32">
        <v>2</v>
      </c>
      <c r="E18" s="32">
        <f>D18*(1+0.005/2)^(-2*C18)</f>
        <v>1.9950124688279303</v>
      </c>
      <c r="F18" s="11">
        <f>D18*EXP(-H18*C18)</f>
        <v>1.9975000000000001</v>
      </c>
      <c r="G18" s="11">
        <f>F18/D18</f>
        <v>0.99875000000000003</v>
      </c>
      <c r="H18" s="50">
        <f>G8</f>
        <v>2.501563803305205E-3</v>
      </c>
    </row>
    <row r="19" spans="1:17" ht="19" thickBot="1">
      <c r="A19" s="3"/>
      <c r="C19" s="12">
        <v>1</v>
      </c>
      <c r="D19" s="13">
        <v>102</v>
      </c>
      <c r="E19" s="36">
        <f>D19*(1+0.005/2)^(-2*C19)</f>
        <v>101.49190614486228</v>
      </c>
      <c r="F19" s="13">
        <f>E21-F18</f>
        <v>101.48941861369022</v>
      </c>
      <c r="G19" s="13">
        <f>F19/D19</f>
        <v>0.99499430013421786</v>
      </c>
      <c r="H19" s="56">
        <f>-LN(G19)</f>
        <v>5.0182703482760105E-3</v>
      </c>
    </row>
    <row r="20" spans="1:17" ht="18">
      <c r="A20" s="3"/>
    </row>
    <row r="21" spans="1:17" ht="18">
      <c r="A21" s="3"/>
      <c r="D21" s="53" t="s">
        <v>29</v>
      </c>
      <c r="E21" s="16">
        <f>SUM(E18:E19)</f>
        <v>103.48691861369022</v>
      </c>
    </row>
    <row r="22" spans="1:17" ht="18">
      <c r="A22" s="3"/>
      <c r="C22" s="3"/>
      <c r="D22" s="3"/>
    </row>
    <row r="23" spans="1:17" ht="18">
      <c r="A23" s="3"/>
      <c r="B23" s="4" t="s">
        <v>3</v>
      </c>
      <c r="C23" s="4" t="s">
        <v>24</v>
      </c>
      <c r="D23" s="4"/>
      <c r="E23" s="4"/>
      <c r="F23" s="4"/>
      <c r="G23" s="24"/>
      <c r="H23" s="24"/>
      <c r="I23" s="24"/>
      <c r="J23" s="24"/>
      <c r="K23" s="24"/>
      <c r="L23" s="24"/>
      <c r="M23" s="54"/>
      <c r="N23" s="54"/>
      <c r="O23" s="21"/>
      <c r="P23" s="21"/>
    </row>
    <row r="24" spans="1:17" ht="18">
      <c r="A24" s="3"/>
      <c r="B24" s="3"/>
      <c r="C24" s="4" t="s">
        <v>25</v>
      </c>
      <c r="D24" s="55"/>
      <c r="E24" s="55"/>
      <c r="F24" s="55"/>
      <c r="G24" s="55"/>
      <c r="H24" s="55"/>
      <c r="I24" s="54"/>
      <c r="J24" s="54"/>
      <c r="K24" s="54"/>
      <c r="L24" s="54"/>
      <c r="M24" s="54"/>
      <c r="N24" s="54"/>
      <c r="O24" s="54"/>
      <c r="P24" s="21"/>
      <c r="Q24" s="21"/>
    </row>
    <row r="25" spans="1:17" ht="18">
      <c r="A25" s="3"/>
      <c r="B25" s="3"/>
      <c r="C25" s="5"/>
      <c r="D25" s="3"/>
      <c r="E25" s="3"/>
      <c r="F25" s="3"/>
      <c r="G25" s="3"/>
      <c r="H25" s="3"/>
    </row>
    <row r="26" spans="1:17" ht="18">
      <c r="A26" s="3"/>
      <c r="B26" s="3"/>
      <c r="C26" s="6" t="s">
        <v>36</v>
      </c>
      <c r="D26" s="6"/>
      <c r="E26" s="6"/>
      <c r="F26" s="6"/>
      <c r="G26" s="6"/>
      <c r="H26" s="6"/>
      <c r="I26" s="6"/>
      <c r="J26" s="48"/>
      <c r="K26" s="47"/>
    </row>
    <row r="27" spans="1:17" ht="18">
      <c r="A27" s="3"/>
      <c r="B27" s="3"/>
      <c r="C27" s="41" t="s">
        <v>46</v>
      </c>
      <c r="D27" s="41"/>
      <c r="E27" s="41"/>
      <c r="F27" s="41"/>
      <c r="G27" s="41"/>
      <c r="H27" s="41"/>
      <c r="I27" s="41"/>
      <c r="J27" s="41"/>
      <c r="K27" s="47"/>
    </row>
    <row r="28" spans="1:17" ht="18">
      <c r="A28" s="3"/>
      <c r="B28" s="3"/>
      <c r="C28" s="41" t="s">
        <v>47</v>
      </c>
      <c r="D28" s="41"/>
      <c r="E28" s="41"/>
      <c r="F28" s="41"/>
      <c r="G28" s="41"/>
      <c r="H28" s="41"/>
      <c r="I28" s="42"/>
      <c r="J28" s="42"/>
      <c r="K28" s="21"/>
    </row>
    <row r="29" spans="1:17" ht="18">
      <c r="A29" s="3"/>
      <c r="B29" s="3"/>
      <c r="C29" s="6" t="s">
        <v>48</v>
      </c>
      <c r="D29" s="6"/>
      <c r="E29" s="6"/>
      <c r="F29" s="6"/>
      <c r="G29" s="6"/>
      <c r="H29" s="6"/>
      <c r="I29" s="48"/>
      <c r="J29" s="48"/>
      <c r="K29" s="47"/>
      <c r="L29" s="47"/>
      <c r="M29" s="47"/>
      <c r="N29" s="47"/>
      <c r="O29" s="47"/>
    </row>
    <row r="30" spans="1:17" ht="19" thickBot="1">
      <c r="A30" s="3"/>
      <c r="B30" s="3"/>
      <c r="C30" s="3"/>
      <c r="D30" s="3"/>
      <c r="E30" s="3"/>
      <c r="F30" s="3"/>
      <c r="G30" s="3"/>
      <c r="H30" s="3"/>
    </row>
    <row r="31" spans="1:17" ht="18">
      <c r="A31" s="3"/>
      <c r="C31" s="7" t="s">
        <v>5</v>
      </c>
      <c r="D31" s="34" t="s">
        <v>9</v>
      </c>
      <c r="E31" s="34" t="s">
        <v>30</v>
      </c>
      <c r="F31" s="34" t="s">
        <v>27</v>
      </c>
      <c r="G31" s="15" t="s">
        <v>31</v>
      </c>
    </row>
    <row r="32" spans="1:17" ht="18">
      <c r="A32" s="3"/>
      <c r="B32" s="3"/>
      <c r="C32" s="10">
        <v>0.5</v>
      </c>
      <c r="D32" s="32">
        <v>1</v>
      </c>
      <c r="E32" s="32">
        <f>D32*(1+0.0105/2)^(-2*C32)</f>
        <v>0.99477741855259882</v>
      </c>
      <c r="F32" s="32">
        <f>$G$8</f>
        <v>2.501563803305205E-3</v>
      </c>
      <c r="G32" s="18">
        <f>D32*EXP(-F32*C32)</f>
        <v>0.99875000000000003</v>
      </c>
    </row>
    <row r="33" spans="1:8" ht="18">
      <c r="A33" s="3"/>
      <c r="B33" s="3"/>
      <c r="C33" s="10">
        <v>1</v>
      </c>
      <c r="D33" s="11">
        <v>1</v>
      </c>
      <c r="E33" s="32">
        <f>D33*(1+0.0105/2)^(-2*C33)</f>
        <v>0.98958211246217254</v>
      </c>
      <c r="F33" s="32">
        <f>$H$19</f>
        <v>5.0182703482760105E-3</v>
      </c>
      <c r="G33" s="18">
        <f>D33*EXP(-F33*C33)</f>
        <v>0.99499430013421786</v>
      </c>
    </row>
    <row r="34" spans="1:8" ht="18">
      <c r="A34" s="3"/>
      <c r="B34" s="3"/>
      <c r="C34" s="10">
        <v>1.5</v>
      </c>
      <c r="D34" s="11">
        <v>1</v>
      </c>
      <c r="E34" s="32">
        <f>D34*(1+0.0105/2)^(-2*C34)</f>
        <v>0.98441393928094756</v>
      </c>
      <c r="F34" s="64">
        <f>(F35-F33)/(C35-C33)*(C34-C33)+F33</f>
        <v>7.7791995908651334E-3</v>
      </c>
      <c r="G34" s="18">
        <f>D34*EXP(-F34*C34)</f>
        <v>0.98839901701828914</v>
      </c>
      <c r="H34" s="16"/>
    </row>
    <row r="35" spans="1:8" ht="19" thickBot="1">
      <c r="A35" s="3"/>
      <c r="B35" s="3"/>
      <c r="C35" s="12">
        <v>2</v>
      </c>
      <c r="D35" s="13">
        <v>101</v>
      </c>
      <c r="E35" s="36">
        <f>D35*(1+0.0105/2)^(-2*C35)</f>
        <v>98.906548487814689</v>
      </c>
      <c r="F35" s="65">
        <v>1.0540128833454256E-2</v>
      </c>
      <c r="G35" s="19">
        <f>D35*EXP(-F35*C35)</f>
        <v>98.893178167254064</v>
      </c>
      <c r="H35" s="16"/>
    </row>
    <row r="36" spans="1:8" ht="18">
      <c r="A36" s="3"/>
      <c r="B36" s="3"/>
      <c r="C36" s="3"/>
    </row>
    <row r="37" spans="1:8" ht="18">
      <c r="D37" s="53" t="s">
        <v>29</v>
      </c>
      <c r="E37" s="82">
        <f>SUM(E32:E35)</f>
        <v>101.8753219581104</v>
      </c>
      <c r="F37" s="53" t="s">
        <v>29</v>
      </c>
      <c r="G37" s="82">
        <f>SUM(G32:G35)</f>
        <v>101.87532148440657</v>
      </c>
    </row>
  </sheetData>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66"/>
  <sheetViews>
    <sheetView workbookViewId="0">
      <selection activeCell="E65" sqref="E65"/>
    </sheetView>
  </sheetViews>
  <sheetFormatPr baseColWidth="10" defaultRowHeight="15" x14ac:dyDescent="0"/>
  <cols>
    <col min="3" max="4" width="15.33203125" customWidth="1"/>
    <col min="5" max="5" width="19.83203125" customWidth="1"/>
    <col min="6" max="6" width="18.33203125" customWidth="1"/>
    <col min="7" max="7" width="13.6640625" bestFit="1" customWidth="1"/>
  </cols>
  <sheetData>
    <row r="1" spans="1:10" ht="25">
      <c r="A1" s="1" t="s">
        <v>61</v>
      </c>
      <c r="B1" s="2"/>
    </row>
    <row r="2" spans="1:10" ht="18">
      <c r="A2" s="3"/>
      <c r="C2" s="20" t="s">
        <v>38</v>
      </c>
      <c r="D2" s="20"/>
      <c r="E2" s="20"/>
      <c r="F2" s="20"/>
      <c r="G2" s="20"/>
      <c r="H2" s="20"/>
      <c r="I2" s="21"/>
      <c r="J2" s="21"/>
    </row>
    <row r="3" spans="1:10" ht="18">
      <c r="A3" s="3"/>
      <c r="B3" s="5"/>
      <c r="C3" s="5"/>
      <c r="D3" s="5"/>
      <c r="E3" s="5"/>
      <c r="F3" s="5"/>
      <c r="G3" s="5"/>
      <c r="H3" s="5"/>
    </row>
    <row r="4" spans="1:10" ht="18">
      <c r="A4" s="3"/>
      <c r="B4" s="3"/>
      <c r="C4" s="3"/>
      <c r="D4" s="16"/>
      <c r="E4" s="17"/>
    </row>
    <row r="5" spans="1:10" ht="18">
      <c r="A5" s="3"/>
      <c r="B5" s="4" t="s">
        <v>0</v>
      </c>
      <c r="C5" s="4" t="s">
        <v>39</v>
      </c>
      <c r="D5" s="22"/>
      <c r="E5" s="23"/>
      <c r="F5" s="24"/>
      <c r="G5" s="24"/>
      <c r="H5" s="26"/>
      <c r="I5" s="26"/>
      <c r="J5" s="26"/>
    </row>
    <row r="6" spans="1:10" ht="19" thickBot="1">
      <c r="A6" s="3"/>
      <c r="B6" s="14"/>
      <c r="C6" s="14"/>
      <c r="D6" s="27"/>
      <c r="E6" s="28"/>
      <c r="F6" s="29"/>
      <c r="G6" s="29"/>
      <c r="H6" s="29"/>
      <c r="I6" s="29"/>
      <c r="J6" s="29"/>
    </row>
    <row r="7" spans="1:10" ht="18">
      <c r="A7" s="3"/>
      <c r="B7" s="14"/>
      <c r="C7" s="59" t="s">
        <v>5</v>
      </c>
      <c r="D7" s="72" t="s">
        <v>6</v>
      </c>
      <c r="E7" s="72" t="s">
        <v>8</v>
      </c>
      <c r="F7" s="72" t="s">
        <v>9</v>
      </c>
      <c r="G7" s="73" t="s">
        <v>10</v>
      </c>
      <c r="H7" s="20"/>
      <c r="I7" s="20"/>
      <c r="J7" s="20"/>
    </row>
    <row r="8" spans="1:10" ht="18">
      <c r="A8" s="3"/>
      <c r="B8" s="14"/>
      <c r="C8" s="74">
        <v>0.5</v>
      </c>
      <c r="D8" s="69">
        <v>2.5000000000000001E-2</v>
      </c>
      <c r="E8" s="69">
        <f>EXP(-D8*C8)</f>
        <v>0.98757780049388144</v>
      </c>
      <c r="F8" s="70">
        <v>2</v>
      </c>
      <c r="G8" s="85">
        <f>F8*E8</f>
        <v>1.9751556009877629</v>
      </c>
      <c r="H8" s="14"/>
      <c r="I8" s="14"/>
      <c r="J8" s="14"/>
    </row>
    <row r="9" spans="1:10" ht="18">
      <c r="A9" s="3"/>
      <c r="B9" s="14"/>
      <c r="C9" s="74">
        <v>1</v>
      </c>
      <c r="D9" s="69">
        <v>2.5000000000000001E-2</v>
      </c>
      <c r="E9" s="69">
        <f t="shared" ref="E9:E17" si="0">EXP(-D9*C9)</f>
        <v>0.97530991202833262</v>
      </c>
      <c r="F9" s="70">
        <v>2</v>
      </c>
      <c r="G9" s="85">
        <f t="shared" ref="G9:G17" si="1">F9*E9</f>
        <v>1.9506198240566652</v>
      </c>
      <c r="H9" s="14"/>
      <c r="I9" s="14"/>
      <c r="J9" s="14"/>
    </row>
    <row r="10" spans="1:10" ht="18">
      <c r="A10" s="3"/>
      <c r="B10" s="14"/>
      <c r="C10" s="74">
        <v>1.5</v>
      </c>
      <c r="D10" s="69">
        <v>2.5000000000000001E-2</v>
      </c>
      <c r="E10" s="69">
        <f t="shared" si="0"/>
        <v>0.96319441772082182</v>
      </c>
      <c r="F10" s="70">
        <v>2</v>
      </c>
      <c r="G10" s="85">
        <f t="shared" si="1"/>
        <v>1.9263888354416436</v>
      </c>
      <c r="H10" s="14"/>
      <c r="I10" s="14"/>
      <c r="J10" s="14"/>
    </row>
    <row r="11" spans="1:10" ht="18">
      <c r="A11" s="3"/>
      <c r="B11" s="14"/>
      <c r="C11" s="74">
        <v>2</v>
      </c>
      <c r="D11" s="69">
        <v>2.5000000000000001E-2</v>
      </c>
      <c r="E11" s="69">
        <f t="shared" si="0"/>
        <v>0.95122942450071402</v>
      </c>
      <c r="F11" s="70">
        <v>2</v>
      </c>
      <c r="G11" s="85">
        <f t="shared" si="1"/>
        <v>1.902458849001428</v>
      </c>
      <c r="H11" s="14"/>
      <c r="I11" s="14"/>
      <c r="J11" s="14"/>
    </row>
    <row r="12" spans="1:10" ht="18">
      <c r="A12" s="3"/>
      <c r="B12" s="14"/>
      <c r="C12" s="74">
        <v>2.5</v>
      </c>
      <c r="D12" s="69">
        <v>2.5000000000000001E-2</v>
      </c>
      <c r="E12" s="69">
        <f t="shared" si="0"/>
        <v>0.93941306281347581</v>
      </c>
      <c r="F12" s="70">
        <v>2</v>
      </c>
      <c r="G12" s="85">
        <f t="shared" si="1"/>
        <v>1.8788261256269516</v>
      </c>
      <c r="H12" s="14"/>
      <c r="I12" s="14"/>
      <c r="J12" s="14"/>
    </row>
    <row r="13" spans="1:10" ht="18">
      <c r="A13" s="3"/>
      <c r="B13" s="14"/>
      <c r="C13" s="74">
        <v>3</v>
      </c>
      <c r="D13" s="69">
        <v>2.5000000000000001E-2</v>
      </c>
      <c r="E13" s="69">
        <f t="shared" si="0"/>
        <v>0.92774348632855286</v>
      </c>
      <c r="F13" s="70">
        <v>2</v>
      </c>
      <c r="G13" s="85">
        <f t="shared" si="1"/>
        <v>1.8554869726571057</v>
      </c>
      <c r="H13" s="14"/>
      <c r="I13" s="14"/>
      <c r="J13" s="14"/>
    </row>
    <row r="14" spans="1:10" ht="18">
      <c r="A14" s="3"/>
      <c r="B14" s="14"/>
      <c r="C14" s="74">
        <v>3.5</v>
      </c>
      <c r="D14" s="69">
        <v>2.5000000000000001E-2</v>
      </c>
      <c r="E14" s="69">
        <f t="shared" si="0"/>
        <v>0.91621887165087756</v>
      </c>
      <c r="F14" s="70">
        <v>2</v>
      </c>
      <c r="G14" s="85">
        <f t="shared" si="1"/>
        <v>1.8324377433017551</v>
      </c>
      <c r="H14" s="14"/>
      <c r="I14" s="14"/>
      <c r="J14" s="14"/>
    </row>
    <row r="15" spans="1:10" ht="18">
      <c r="A15" s="3"/>
      <c r="B15" s="14"/>
      <c r="C15" s="74">
        <v>4</v>
      </c>
      <c r="D15" s="69">
        <v>2.5000000000000001E-2</v>
      </c>
      <c r="E15" s="69">
        <f t="shared" si="0"/>
        <v>0.90483741803595952</v>
      </c>
      <c r="F15" s="70">
        <v>2</v>
      </c>
      <c r="G15" s="85">
        <f t="shared" si="1"/>
        <v>1.809674836071919</v>
      </c>
      <c r="H15" s="14"/>
      <c r="I15" s="14"/>
      <c r="J15" s="14"/>
    </row>
    <row r="16" spans="1:10" ht="18">
      <c r="A16" s="3"/>
      <c r="B16" s="14"/>
      <c r="C16" s="74">
        <v>4.5</v>
      </c>
      <c r="D16" s="69">
        <v>2.5000000000000001E-2</v>
      </c>
      <c r="E16" s="69">
        <f t="shared" si="0"/>
        <v>0.89359734710851568</v>
      </c>
      <c r="F16" s="70">
        <v>2</v>
      </c>
      <c r="G16" s="85">
        <f t="shared" si="1"/>
        <v>1.7871946942170314</v>
      </c>
      <c r="H16" s="14"/>
      <c r="I16" s="14"/>
      <c r="J16" s="14"/>
    </row>
    <row r="17" spans="1:10" ht="19" thickBot="1">
      <c r="A17" s="3"/>
      <c r="B17" s="14"/>
      <c r="C17" s="60">
        <v>5</v>
      </c>
      <c r="D17" s="75">
        <v>2.5000000000000001E-2</v>
      </c>
      <c r="E17" s="75">
        <f t="shared" si="0"/>
        <v>0.88249690258459546</v>
      </c>
      <c r="F17" s="76">
        <v>102</v>
      </c>
      <c r="G17" s="86">
        <f t="shared" si="1"/>
        <v>90.014684063628735</v>
      </c>
      <c r="H17" s="14"/>
      <c r="I17" s="14"/>
      <c r="J17" s="14"/>
    </row>
    <row r="18" spans="1:10" ht="18">
      <c r="A18" s="3"/>
      <c r="B18" s="14"/>
      <c r="C18" s="71"/>
      <c r="D18" s="31"/>
      <c r="E18" s="31"/>
      <c r="F18" s="71"/>
      <c r="G18" s="71"/>
      <c r="H18" s="14"/>
      <c r="I18" s="14"/>
      <c r="J18" s="14"/>
    </row>
    <row r="19" spans="1:10" ht="18">
      <c r="A19" s="3"/>
      <c r="B19" s="14"/>
      <c r="C19" s="3"/>
      <c r="D19" s="3"/>
      <c r="E19" s="27"/>
      <c r="F19" s="49" t="s">
        <v>11</v>
      </c>
      <c r="G19" s="40">
        <f>SUM(G8:G17)</f>
        <v>106.932927544991</v>
      </c>
      <c r="H19" s="14"/>
      <c r="I19" s="14"/>
      <c r="J19" s="14"/>
    </row>
    <row r="20" spans="1:10" ht="18">
      <c r="A20" s="3"/>
      <c r="B20" s="14"/>
      <c r="C20" s="3"/>
      <c r="D20" s="3"/>
      <c r="E20" s="27"/>
      <c r="F20" s="14"/>
      <c r="G20" s="14"/>
      <c r="H20" s="14"/>
      <c r="I20" s="14"/>
      <c r="J20" s="14"/>
    </row>
    <row r="21" spans="1:10" ht="18">
      <c r="A21" s="3"/>
      <c r="B21" s="4" t="s">
        <v>2</v>
      </c>
      <c r="C21" s="4" t="s">
        <v>40</v>
      </c>
      <c r="D21" s="4"/>
      <c r="E21" s="4"/>
      <c r="F21" s="4"/>
      <c r="G21" s="20"/>
      <c r="H21" s="20"/>
      <c r="I21" s="20"/>
      <c r="J21" s="20"/>
    </row>
    <row r="22" spans="1:10" s="3" customFormat="1" ht="18"/>
    <row r="23" spans="1:10" s="3" customFormat="1" ht="18">
      <c r="C23" s="6" t="s">
        <v>50</v>
      </c>
      <c r="D23" s="57"/>
      <c r="E23" s="57"/>
      <c r="F23" s="57"/>
      <c r="G23" s="57"/>
      <c r="H23" s="57"/>
      <c r="I23" s="14"/>
      <c r="J23" s="14"/>
    </row>
    <row r="24" spans="1:10" s="3" customFormat="1" ht="18">
      <c r="C24" s="20"/>
      <c r="D24" s="14"/>
      <c r="E24" s="14"/>
      <c r="F24" s="14"/>
      <c r="G24" s="14"/>
      <c r="H24" s="14"/>
      <c r="I24" s="14"/>
      <c r="J24" s="14"/>
    </row>
    <row r="25" spans="1:10" s="3" customFormat="1" ht="18">
      <c r="C25" s="68" t="s">
        <v>5</v>
      </c>
      <c r="D25" s="68" t="s">
        <v>9</v>
      </c>
      <c r="E25" s="63" t="s">
        <v>49</v>
      </c>
      <c r="F25" s="63" t="s">
        <v>51</v>
      </c>
      <c r="G25" s="14"/>
      <c r="H25" s="14"/>
      <c r="I25" s="14"/>
      <c r="J25" s="14"/>
    </row>
    <row r="26" spans="1:10" s="3" customFormat="1" ht="18">
      <c r="C26" s="69">
        <v>0.5</v>
      </c>
      <c r="D26" s="70">
        <v>2</v>
      </c>
      <c r="E26" s="77">
        <f>C26*D26*EXP(-0.025*C26)</f>
        <v>0.98757780049388144</v>
      </c>
      <c r="F26" s="77">
        <f>C26^2*D26*EXP(-0.025*C26)</f>
        <v>0.49378890024694072</v>
      </c>
      <c r="G26" s="14"/>
      <c r="H26" s="14"/>
      <c r="I26" s="14"/>
      <c r="J26" s="14"/>
    </row>
    <row r="27" spans="1:10" s="3" customFormat="1" ht="18">
      <c r="C27" s="69">
        <v>1</v>
      </c>
      <c r="D27" s="70">
        <v>2</v>
      </c>
      <c r="E27" s="77">
        <f t="shared" ref="E27:E35" si="2">C27*D27*EXP(-0.025*C27)</f>
        <v>1.9506198240566652</v>
      </c>
      <c r="F27" s="77">
        <f t="shared" ref="F27:F35" si="3">C27^2*D27*EXP(-0.025*C27)</f>
        <v>1.9506198240566652</v>
      </c>
      <c r="G27" s="14"/>
      <c r="H27" s="14"/>
      <c r="I27" s="14"/>
      <c r="J27" s="14"/>
    </row>
    <row r="28" spans="1:10" s="3" customFormat="1" ht="18">
      <c r="C28" s="69">
        <v>1.5</v>
      </c>
      <c r="D28" s="70">
        <v>2</v>
      </c>
      <c r="E28" s="77">
        <f t="shared" si="2"/>
        <v>2.8895832531624652</v>
      </c>
      <c r="F28" s="77">
        <f t="shared" si="3"/>
        <v>4.3343748797436978</v>
      </c>
      <c r="G28" s="14"/>
      <c r="H28" s="14"/>
      <c r="I28" s="14"/>
      <c r="J28" s="14"/>
    </row>
    <row r="29" spans="1:10" s="3" customFormat="1" ht="18">
      <c r="C29" s="69">
        <v>2</v>
      </c>
      <c r="D29" s="70">
        <v>2</v>
      </c>
      <c r="E29" s="77">
        <f t="shared" si="2"/>
        <v>3.8049176980028561</v>
      </c>
      <c r="F29" s="77">
        <f t="shared" si="3"/>
        <v>7.6098353960057121</v>
      </c>
      <c r="G29" s="14"/>
      <c r="H29" s="14"/>
      <c r="I29" s="14"/>
      <c r="J29" s="14"/>
    </row>
    <row r="30" spans="1:10" s="3" customFormat="1" ht="18">
      <c r="C30" s="69">
        <v>2.5</v>
      </c>
      <c r="D30" s="70">
        <v>2</v>
      </c>
      <c r="E30" s="77">
        <f t="shared" si="2"/>
        <v>4.6970653140673786</v>
      </c>
      <c r="F30" s="77">
        <f t="shared" si="3"/>
        <v>11.742663285168447</v>
      </c>
      <c r="G30" s="14"/>
      <c r="H30" s="14"/>
      <c r="I30" s="14"/>
      <c r="J30" s="14"/>
    </row>
    <row r="31" spans="1:10" s="3" customFormat="1" ht="18">
      <c r="C31" s="69">
        <v>3</v>
      </c>
      <c r="D31" s="70">
        <v>2</v>
      </c>
      <c r="E31" s="77">
        <f t="shared" si="2"/>
        <v>5.5664609179713169</v>
      </c>
      <c r="F31" s="77">
        <f t="shared" si="3"/>
        <v>16.699382753913952</v>
      </c>
      <c r="G31" s="14"/>
      <c r="H31" s="14"/>
      <c r="I31" s="14"/>
      <c r="J31" s="14"/>
    </row>
    <row r="32" spans="1:10" s="3" customFormat="1" ht="18">
      <c r="C32" s="69">
        <v>3.5</v>
      </c>
      <c r="D32" s="70">
        <v>2</v>
      </c>
      <c r="E32" s="77">
        <f t="shared" si="2"/>
        <v>6.4135321015561431</v>
      </c>
      <c r="F32" s="77">
        <f t="shared" si="3"/>
        <v>22.447362355446501</v>
      </c>
      <c r="G32" s="14"/>
      <c r="H32" s="14"/>
      <c r="I32" s="14"/>
      <c r="J32" s="14"/>
    </row>
    <row r="33" spans="2:13" s="3" customFormat="1" ht="18">
      <c r="C33" s="69">
        <v>4</v>
      </c>
      <c r="D33" s="70">
        <v>2</v>
      </c>
      <c r="E33" s="77">
        <f t="shared" si="2"/>
        <v>7.2386993442876761</v>
      </c>
      <c r="F33" s="77">
        <f t="shared" si="3"/>
        <v>28.954797377150705</v>
      </c>
    </row>
    <row r="34" spans="2:13" s="3" customFormat="1" ht="18">
      <c r="C34" s="69">
        <v>4.5</v>
      </c>
      <c r="D34" s="70">
        <v>2</v>
      </c>
      <c r="E34" s="77">
        <f t="shared" si="2"/>
        <v>8.0423761239766414</v>
      </c>
      <c r="F34" s="77">
        <f t="shared" si="3"/>
        <v>36.190692557894884</v>
      </c>
    </row>
    <row r="35" spans="2:13" s="3" customFormat="1" ht="18">
      <c r="C35" s="69">
        <v>5</v>
      </c>
      <c r="D35" s="70">
        <v>102</v>
      </c>
      <c r="E35" s="77">
        <f t="shared" si="2"/>
        <v>450.07342031814369</v>
      </c>
      <c r="F35" s="77">
        <f t="shared" si="3"/>
        <v>2250.3671015907184</v>
      </c>
    </row>
    <row r="36" spans="2:13" s="3" customFormat="1" ht="18">
      <c r="C36" s="66"/>
      <c r="D36" s="67"/>
    </row>
    <row r="37" spans="2:13" s="3" customFormat="1" ht="18">
      <c r="C37" s="127" t="s">
        <v>52</v>
      </c>
      <c r="D37" s="127"/>
      <c r="E37" s="78">
        <f>SUM(E26:E35)/G19</f>
        <v>4.5978751726296441</v>
      </c>
    </row>
    <row r="38" spans="2:13" s="3" customFormat="1" ht="18">
      <c r="C38" s="127" t="s">
        <v>53</v>
      </c>
      <c r="D38" s="127"/>
      <c r="E38" s="78">
        <f>SUM(F26:F35)/G19</f>
        <v>22.264335912047773</v>
      </c>
    </row>
    <row r="39" spans="2:13" s="3" customFormat="1" ht="18">
      <c r="C39" s="66"/>
      <c r="D39" s="67"/>
    </row>
    <row r="40" spans="2:13" s="3" customFormat="1" ht="18">
      <c r="B40" s="4" t="s">
        <v>3</v>
      </c>
      <c r="C40" s="4" t="s">
        <v>42</v>
      </c>
      <c r="D40" s="55"/>
      <c r="E40" s="55"/>
    </row>
    <row r="41" spans="2:13" s="3" customFormat="1" ht="18"/>
    <row r="42" spans="2:13" s="3" customFormat="1" ht="18">
      <c r="C42" s="6" t="s">
        <v>58</v>
      </c>
      <c r="D42" s="6"/>
      <c r="E42" s="6"/>
      <c r="F42" s="6"/>
      <c r="G42" s="6"/>
      <c r="H42" s="6"/>
      <c r="I42" s="6"/>
      <c r="J42" s="6"/>
      <c r="K42" s="57"/>
      <c r="L42" s="57"/>
      <c r="M42" s="14"/>
    </row>
    <row r="43" spans="2:13" s="3" customFormat="1" ht="18">
      <c r="C43" s="6" t="s">
        <v>54</v>
      </c>
      <c r="D43" s="6"/>
      <c r="E43" s="6"/>
      <c r="F43" s="6"/>
      <c r="G43" s="20"/>
      <c r="H43" s="20"/>
      <c r="I43" s="20"/>
      <c r="J43" s="20"/>
    </row>
    <row r="44" spans="2:13" s="3" customFormat="1" ht="18">
      <c r="C44" s="20"/>
      <c r="D44" s="20"/>
      <c r="E44" s="20"/>
      <c r="F44" s="20"/>
      <c r="G44" s="20"/>
      <c r="H44" s="20"/>
      <c r="I44" s="20"/>
      <c r="J44" s="20"/>
    </row>
    <row r="45" spans="2:13" s="3" customFormat="1" ht="18">
      <c r="C45" s="53" t="s">
        <v>55</v>
      </c>
      <c r="D45" s="16">
        <v>2.5000000000000001E-2</v>
      </c>
      <c r="E45" s="80" t="s">
        <v>52</v>
      </c>
      <c r="F45" s="79">
        <v>4.5978751726296441</v>
      </c>
    </row>
    <row r="46" spans="2:13" s="3" customFormat="1" ht="18">
      <c r="C46" s="53" t="s">
        <v>56</v>
      </c>
      <c r="D46" s="16">
        <f>(EXP(0.025/2)-1)*2</f>
        <v>2.5156903081268833E-2</v>
      </c>
      <c r="E46" s="6" t="s">
        <v>57</v>
      </c>
      <c r="F46" s="49">
        <f>F45/(1+D46/2)</f>
        <v>4.5407594499310093</v>
      </c>
    </row>
    <row r="47" spans="2:13" s="3" customFormat="1" ht="18"/>
    <row r="48" spans="2:13" s="3" customFormat="1" ht="18">
      <c r="B48" s="4" t="s">
        <v>41</v>
      </c>
      <c r="C48" s="4" t="s">
        <v>43</v>
      </c>
      <c r="D48" s="55"/>
      <c r="E48" s="55"/>
      <c r="F48" s="55"/>
      <c r="G48" s="55"/>
      <c r="H48" s="55"/>
      <c r="I48" s="55"/>
      <c r="J48" s="55"/>
    </row>
    <row r="49" spans="3:9" s="3" customFormat="1" ht="18"/>
    <row r="50" spans="3:9" s="3" customFormat="1" ht="18">
      <c r="C50" s="6" t="s">
        <v>115</v>
      </c>
      <c r="D50" s="57"/>
      <c r="E50" s="111"/>
      <c r="F50" s="111"/>
    </row>
    <row r="51" spans="3:9" s="3" customFormat="1" ht="18"/>
    <row r="52" spans="3:9" s="3" customFormat="1" ht="18">
      <c r="C52" s="6" t="s">
        <v>116</v>
      </c>
      <c r="D52" s="121" t="s">
        <v>117</v>
      </c>
      <c r="E52" s="120"/>
    </row>
    <row r="53" spans="3:9" s="3" customFormat="1" ht="18"/>
    <row r="54" spans="3:9" s="3" customFormat="1" ht="18">
      <c r="C54" s="6" t="s">
        <v>118</v>
      </c>
      <c r="D54" s="57"/>
      <c r="E54" s="57"/>
      <c r="F54" s="57"/>
      <c r="G54" s="57"/>
      <c r="H54" s="57"/>
      <c r="I54" s="57"/>
    </row>
    <row r="55" spans="3:9" s="3" customFormat="1" ht="18"/>
    <row r="56" spans="3:9" s="3" customFormat="1" ht="18">
      <c r="C56" s="111"/>
    </row>
    <row r="57" spans="3:9" s="3" customFormat="1" ht="18">
      <c r="C57" s="95" t="s">
        <v>119</v>
      </c>
      <c r="D57" s="11">
        <v>2</v>
      </c>
      <c r="I57" s="111"/>
    </row>
    <row r="58" spans="3:9" s="3" customFormat="1" ht="18">
      <c r="C58" s="95" t="s">
        <v>120</v>
      </c>
      <c r="D58" s="11">
        <v>4.5978751726296441</v>
      </c>
    </row>
    <row r="59" spans="3:9" s="3" customFormat="1" ht="18">
      <c r="C59" s="95" t="s">
        <v>121</v>
      </c>
      <c r="D59" s="11">
        <v>22.264335912047773</v>
      </c>
    </row>
    <row r="60" spans="3:9" s="3" customFormat="1" ht="18">
      <c r="C60" s="95" t="s">
        <v>122</v>
      </c>
      <c r="D60" s="11">
        <f>(EXP(0.025/2)-1)*2</f>
        <v>2.5156903081268833E-2</v>
      </c>
    </row>
    <row r="61" spans="3:9" s="3" customFormat="1" ht="18"/>
    <row r="62" spans="3:9" s="3" customFormat="1" ht="18">
      <c r="C62" s="128" t="s">
        <v>57</v>
      </c>
      <c r="D62" s="128"/>
      <c r="E62" s="49">
        <f>(D59+D58/D57)*(1+D60/D57)^(-2)</f>
        <v>23.956804114815895</v>
      </c>
    </row>
    <row r="63" spans="3:9" s="3" customFormat="1" ht="18"/>
    <row r="64" spans="3:9" s="3" customFormat="1" ht="18">
      <c r="G64" s="111"/>
    </row>
    <row r="65" spans="7:7" s="3" customFormat="1" ht="18">
      <c r="G65"/>
    </row>
    <row r="66" spans="7:7">
      <c r="G66" s="111"/>
    </row>
  </sheetData>
  <mergeCells count="3">
    <mergeCell ref="C37:D37"/>
    <mergeCell ref="C38:D38"/>
    <mergeCell ref="C62:D62"/>
  </mergeCells>
  <pageMargins left="0.75" right="0.75" top="1" bottom="1" header="0.5" footer="0.5"/>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U82"/>
  <sheetViews>
    <sheetView topLeftCell="A26" workbookViewId="0">
      <selection activeCell="K27" sqref="K27"/>
    </sheetView>
  </sheetViews>
  <sheetFormatPr baseColWidth="10" defaultRowHeight="15" x14ac:dyDescent="0"/>
  <cols>
    <col min="18" max="18" width="14.6640625" customWidth="1"/>
  </cols>
  <sheetData>
    <row r="1" spans="1:18" ht="25">
      <c r="A1" s="1" t="s">
        <v>63</v>
      </c>
      <c r="B1" s="2"/>
      <c r="C1" s="84" t="s">
        <v>107</v>
      </c>
    </row>
    <row r="2" spans="1:18" ht="18">
      <c r="A2" s="3"/>
      <c r="B2" s="3"/>
      <c r="C2" s="5" t="s">
        <v>108</v>
      </c>
      <c r="D2" s="3"/>
      <c r="E2" s="3"/>
      <c r="F2" s="3"/>
      <c r="G2" s="3"/>
      <c r="H2" s="3"/>
      <c r="I2" s="3"/>
      <c r="J2" s="3"/>
      <c r="K2" s="3"/>
      <c r="L2" s="3"/>
      <c r="M2" s="3"/>
      <c r="N2" s="3"/>
      <c r="O2" s="3"/>
      <c r="P2" s="3"/>
      <c r="Q2" s="3"/>
      <c r="R2" s="3"/>
    </row>
    <row r="3" spans="1:18" ht="18">
      <c r="A3" s="3"/>
      <c r="B3" s="3"/>
      <c r="C3" s="5" t="s">
        <v>109</v>
      </c>
      <c r="D3" s="3"/>
      <c r="E3" s="3"/>
      <c r="F3" s="3"/>
      <c r="G3" s="3"/>
      <c r="H3" s="3"/>
      <c r="I3" s="3"/>
      <c r="J3" s="3"/>
      <c r="K3" s="3"/>
      <c r="L3" s="3"/>
      <c r="M3" s="3"/>
      <c r="N3" s="3"/>
      <c r="O3" s="3"/>
      <c r="P3" s="3"/>
      <c r="Q3" s="3"/>
      <c r="R3" s="3"/>
    </row>
    <row r="4" spans="1:18" ht="18">
      <c r="A4" s="3"/>
      <c r="B4" s="3"/>
      <c r="C4" s="5" t="s">
        <v>110</v>
      </c>
      <c r="D4" s="3"/>
      <c r="E4" s="3"/>
      <c r="F4" s="3"/>
      <c r="G4" s="3"/>
      <c r="H4" s="3"/>
      <c r="I4" s="3"/>
      <c r="J4" s="3"/>
      <c r="K4" s="3"/>
      <c r="L4" s="3"/>
      <c r="M4" s="3"/>
      <c r="N4" s="3"/>
      <c r="O4" s="3"/>
      <c r="P4" s="3"/>
      <c r="Q4" s="3"/>
      <c r="R4" s="3"/>
    </row>
    <row r="5" spans="1:18" ht="18">
      <c r="A5" s="3"/>
      <c r="B5" s="3"/>
      <c r="C5" s="113"/>
      <c r="D5" s="3"/>
      <c r="E5" s="3"/>
      <c r="F5" s="3"/>
      <c r="G5" s="3"/>
      <c r="H5" s="3"/>
      <c r="I5" s="3"/>
      <c r="J5" s="3"/>
      <c r="K5" s="3"/>
      <c r="L5" s="3"/>
      <c r="M5" s="3"/>
      <c r="N5" s="3"/>
      <c r="O5" s="3"/>
      <c r="P5" s="3"/>
      <c r="Q5" s="3"/>
      <c r="R5" s="3"/>
    </row>
    <row r="6" spans="1:18" ht="18">
      <c r="A6" s="3"/>
      <c r="B6" s="3"/>
      <c r="C6" s="112"/>
      <c r="D6" s="3"/>
      <c r="E6" s="3"/>
      <c r="F6" s="113"/>
      <c r="G6" s="113"/>
      <c r="H6" s="3"/>
      <c r="I6" s="113"/>
      <c r="J6" s="3"/>
      <c r="K6" s="3"/>
      <c r="L6" s="3"/>
      <c r="M6" s="3"/>
      <c r="N6" s="3"/>
      <c r="O6" s="3"/>
      <c r="P6" s="3"/>
      <c r="Q6" s="3"/>
      <c r="R6" s="3"/>
    </row>
    <row r="7" spans="1:18" ht="18">
      <c r="A7" s="3"/>
      <c r="B7" s="3"/>
      <c r="C7" s="5" t="s">
        <v>111</v>
      </c>
      <c r="D7" s="3"/>
      <c r="E7" s="3"/>
      <c r="F7" s="112"/>
      <c r="G7" s="112"/>
      <c r="H7" s="3"/>
      <c r="I7" s="112"/>
      <c r="J7" s="3"/>
      <c r="K7" s="3"/>
      <c r="L7" s="3"/>
      <c r="M7" s="3"/>
      <c r="N7" s="3"/>
      <c r="O7" s="3"/>
      <c r="P7" s="3"/>
      <c r="Q7" s="3"/>
      <c r="R7" s="3"/>
    </row>
    <row r="8" spans="1:18" ht="18">
      <c r="A8" s="3"/>
      <c r="B8" s="3"/>
      <c r="D8" s="3"/>
      <c r="E8" s="3"/>
      <c r="F8" s="3"/>
      <c r="G8" s="3"/>
      <c r="H8" s="3"/>
      <c r="I8" s="3"/>
      <c r="J8" s="3"/>
      <c r="K8" s="3"/>
      <c r="L8" s="3"/>
      <c r="M8" s="3"/>
      <c r="N8" s="3"/>
      <c r="O8" s="3"/>
      <c r="P8" s="3"/>
      <c r="Q8" s="3"/>
      <c r="R8" s="3"/>
    </row>
    <row r="9" spans="1:18" ht="18">
      <c r="A9" s="3"/>
      <c r="B9" s="4" t="s">
        <v>0</v>
      </c>
      <c r="C9" s="4" t="s">
        <v>112</v>
      </c>
      <c r="D9" s="55"/>
      <c r="E9" s="55"/>
      <c r="F9" s="55"/>
      <c r="G9" s="55"/>
      <c r="H9" s="55"/>
      <c r="I9" s="55"/>
      <c r="J9" s="55"/>
      <c r="K9" s="55"/>
      <c r="L9" s="55"/>
      <c r="M9" s="55"/>
      <c r="N9" s="55"/>
      <c r="O9" s="55"/>
      <c r="P9" s="114"/>
      <c r="Q9" s="3"/>
      <c r="R9" s="3"/>
    </row>
    <row r="10" spans="1:18" ht="18">
      <c r="A10" s="3"/>
      <c r="B10" s="3"/>
      <c r="C10" s="3"/>
      <c r="D10" s="3"/>
      <c r="E10" s="3"/>
      <c r="F10" s="3"/>
      <c r="G10" s="3"/>
      <c r="H10" s="3"/>
      <c r="I10" s="3"/>
      <c r="J10" s="3"/>
      <c r="K10" s="3"/>
      <c r="L10" s="3"/>
      <c r="M10" s="3"/>
      <c r="N10" s="3"/>
      <c r="O10" s="3"/>
      <c r="P10" s="3"/>
      <c r="Q10" s="3"/>
      <c r="R10" s="3"/>
    </row>
    <row r="11" spans="1:18" ht="18">
      <c r="A11" s="3"/>
      <c r="B11" s="3"/>
      <c r="C11" s="6" t="s">
        <v>126</v>
      </c>
      <c r="D11" s="57"/>
      <c r="E11" s="3"/>
      <c r="F11" s="3"/>
      <c r="G11" s="3"/>
      <c r="H11" s="3"/>
      <c r="I11" s="3"/>
      <c r="J11" s="3"/>
      <c r="K11" s="3"/>
      <c r="L11" s="3"/>
      <c r="M11" s="3"/>
      <c r="N11" s="3"/>
      <c r="O11" s="3"/>
      <c r="P11" s="3"/>
      <c r="Q11" s="3"/>
      <c r="R11" s="3"/>
    </row>
    <row r="12" spans="1:18" ht="18">
      <c r="A12" s="3"/>
      <c r="B12" s="6" t="s">
        <v>128</v>
      </c>
      <c r="C12" s="6" t="s">
        <v>123</v>
      </c>
      <c r="D12" s="57"/>
      <c r="E12" s="57"/>
      <c r="F12" s="57"/>
      <c r="G12" s="57"/>
      <c r="H12" s="57"/>
      <c r="I12" s="57"/>
      <c r="J12" s="3"/>
      <c r="K12" s="3"/>
      <c r="L12" s="3"/>
      <c r="M12" s="3"/>
      <c r="N12" s="3"/>
      <c r="O12" s="3"/>
      <c r="P12" s="3"/>
      <c r="Q12" s="3"/>
      <c r="R12" s="3"/>
    </row>
    <row r="13" spans="1:18" ht="18">
      <c r="A13" s="3"/>
      <c r="B13" s="20"/>
      <c r="C13" s="6" t="s">
        <v>124</v>
      </c>
      <c r="D13" s="57"/>
      <c r="E13" s="122" t="s">
        <v>117</v>
      </c>
      <c r="F13" s="6" t="s">
        <v>125</v>
      </c>
      <c r="G13" s="14"/>
      <c r="H13" s="14"/>
      <c r="I13" s="14"/>
      <c r="J13" s="3"/>
      <c r="K13" s="3"/>
      <c r="L13" s="3"/>
      <c r="M13" s="3"/>
      <c r="N13" s="3"/>
      <c r="O13" s="3"/>
      <c r="P13" s="3"/>
      <c r="Q13" s="3"/>
      <c r="R13" s="3"/>
    </row>
    <row r="14" spans="1:18" ht="18">
      <c r="A14" s="3"/>
      <c r="B14" s="3"/>
      <c r="C14" s="6" t="s">
        <v>130</v>
      </c>
      <c r="D14" s="57"/>
      <c r="E14" s="57"/>
      <c r="F14" s="57"/>
      <c r="G14" s="57"/>
      <c r="H14" s="57"/>
      <c r="I14" s="57"/>
      <c r="J14" s="57"/>
      <c r="K14" s="57"/>
      <c r="L14" s="3"/>
      <c r="M14" s="3"/>
      <c r="N14" s="3"/>
      <c r="O14" s="3"/>
      <c r="P14" s="3"/>
      <c r="Q14" s="3"/>
      <c r="R14" s="3"/>
    </row>
    <row r="15" spans="1:18" ht="18">
      <c r="A15" s="3"/>
      <c r="B15" s="3"/>
      <c r="C15" s="113"/>
      <c r="D15" s="3"/>
      <c r="E15" s="3"/>
      <c r="F15" s="3"/>
      <c r="G15" s="3"/>
      <c r="H15" s="3"/>
      <c r="I15" s="3"/>
      <c r="J15" s="3"/>
      <c r="K15" s="3"/>
      <c r="L15" s="3"/>
      <c r="M15" s="3"/>
      <c r="N15" s="3"/>
      <c r="O15" s="3"/>
      <c r="P15" s="3"/>
      <c r="Q15" s="3"/>
      <c r="R15" s="3"/>
    </row>
    <row r="16" spans="1:18" ht="18">
      <c r="A16" s="3"/>
      <c r="B16" s="3"/>
      <c r="C16" s="113"/>
      <c r="D16" s="3"/>
      <c r="E16" s="3"/>
      <c r="F16" s="3"/>
      <c r="G16" s="3"/>
      <c r="H16" s="3"/>
      <c r="I16" s="3"/>
      <c r="J16" s="3"/>
      <c r="K16" s="3"/>
      <c r="L16" s="3"/>
      <c r="M16" s="3"/>
      <c r="N16" s="3"/>
      <c r="O16" s="3"/>
      <c r="P16" s="3"/>
      <c r="Q16" s="3"/>
      <c r="R16" s="3"/>
    </row>
    <row r="17" spans="1:18" ht="18">
      <c r="A17" s="3"/>
      <c r="B17" s="3"/>
      <c r="C17" s="6" t="s">
        <v>127</v>
      </c>
      <c r="D17" s="57"/>
      <c r="E17" s="57"/>
      <c r="F17" s="57"/>
      <c r="G17" s="57"/>
      <c r="H17" s="123"/>
      <c r="I17" s="3"/>
      <c r="J17" s="3"/>
      <c r="K17" s="113"/>
      <c r="L17" s="3"/>
      <c r="M17" s="3"/>
      <c r="N17" s="3"/>
      <c r="O17" s="3"/>
      <c r="P17" s="3"/>
      <c r="Q17" s="3"/>
      <c r="R17" s="3"/>
    </row>
    <row r="18" spans="1:18" ht="18">
      <c r="A18" s="3"/>
      <c r="B18" s="6" t="s">
        <v>129</v>
      </c>
      <c r="C18" s="6" t="s">
        <v>131</v>
      </c>
      <c r="D18" s="123"/>
      <c r="E18" s="57"/>
      <c r="F18" s="57"/>
      <c r="G18" s="57"/>
      <c r="H18" s="57"/>
      <c r="I18" s="113"/>
      <c r="J18" s="3"/>
      <c r="K18" s="3"/>
      <c r="L18" s="3"/>
      <c r="M18" s="3"/>
      <c r="N18" s="3"/>
      <c r="O18" s="3"/>
      <c r="P18" s="3"/>
      <c r="Q18" s="3"/>
      <c r="R18" s="3"/>
    </row>
    <row r="19" spans="1:18" ht="18">
      <c r="A19" s="3"/>
      <c r="B19" s="6" t="s">
        <v>132</v>
      </c>
      <c r="C19" s="6" t="s">
        <v>135</v>
      </c>
      <c r="D19" s="57"/>
      <c r="E19" s="57"/>
      <c r="F19" s="123"/>
      <c r="G19" s="57"/>
      <c r="H19" s="57"/>
      <c r="I19" s="57"/>
      <c r="J19" s="57"/>
      <c r="K19" s="57"/>
      <c r="L19" s="57"/>
      <c r="M19" s="124"/>
      <c r="N19" s="124"/>
      <c r="O19" s="124"/>
      <c r="P19" s="57"/>
      <c r="Q19" s="57"/>
      <c r="R19" s="57"/>
    </row>
    <row r="20" spans="1:18" ht="18">
      <c r="A20" s="3"/>
      <c r="B20" s="3"/>
      <c r="C20" s="6" t="s">
        <v>133</v>
      </c>
      <c r="D20" s="57"/>
      <c r="E20" s="57"/>
      <c r="F20" s="57"/>
      <c r="G20" s="113"/>
      <c r="H20" s="14"/>
      <c r="I20" s="14"/>
      <c r="J20" s="14"/>
      <c r="K20" s="14"/>
      <c r="L20" s="14"/>
      <c r="M20" s="3"/>
      <c r="N20" s="3"/>
      <c r="O20" s="3"/>
      <c r="P20" s="3"/>
      <c r="Q20" s="3"/>
      <c r="R20" s="3"/>
    </row>
    <row r="21" spans="1:18" ht="18">
      <c r="A21" s="3"/>
      <c r="B21" s="3"/>
      <c r="C21" s="3"/>
      <c r="D21" s="3"/>
      <c r="E21" s="3"/>
      <c r="F21" s="3"/>
      <c r="G21" s="3"/>
      <c r="H21" s="3"/>
      <c r="I21" s="3"/>
      <c r="J21" s="3"/>
      <c r="K21" s="3"/>
      <c r="L21" s="3"/>
      <c r="M21" s="3"/>
      <c r="N21" s="3"/>
      <c r="O21" s="3"/>
      <c r="P21" s="3"/>
      <c r="Q21" s="3"/>
      <c r="R21" s="3"/>
    </row>
    <row r="22" spans="1:18" ht="18">
      <c r="A22" s="3"/>
      <c r="B22" s="3"/>
      <c r="C22" s="3"/>
      <c r="D22" s="3"/>
      <c r="E22" s="3"/>
      <c r="F22" s="3"/>
      <c r="G22" s="113"/>
      <c r="H22" s="3"/>
      <c r="I22" s="3"/>
      <c r="J22" s="3"/>
      <c r="K22" s="3"/>
      <c r="L22" s="3"/>
      <c r="M22" s="3"/>
      <c r="N22" s="3"/>
      <c r="O22" s="3"/>
      <c r="P22" s="3"/>
      <c r="Q22" s="3"/>
      <c r="R22" s="3"/>
    </row>
    <row r="23" spans="1:18" ht="18">
      <c r="A23" s="3"/>
      <c r="B23" s="3"/>
      <c r="C23" s="6" t="s">
        <v>134</v>
      </c>
      <c r="D23" s="122" t="s">
        <v>117</v>
      </c>
      <c r="E23" s="111"/>
      <c r="F23" s="57" t="s">
        <v>136</v>
      </c>
      <c r="G23" s="57"/>
      <c r="H23" s="113"/>
      <c r="I23" s="3"/>
      <c r="J23" s="3"/>
      <c r="K23" s="3"/>
      <c r="L23" s="3"/>
      <c r="M23" s="3"/>
      <c r="N23" s="3"/>
      <c r="O23" s="3"/>
      <c r="P23" s="3"/>
      <c r="Q23" s="3"/>
      <c r="R23" s="3"/>
    </row>
    <row r="24" spans="1:18" ht="18">
      <c r="A24" s="3"/>
      <c r="B24" s="3"/>
      <c r="C24" s="3"/>
      <c r="D24" s="3"/>
      <c r="E24" s="3"/>
      <c r="F24" s="3"/>
      <c r="G24" s="3"/>
      <c r="H24" s="3"/>
      <c r="I24" s="3"/>
      <c r="J24" s="3"/>
      <c r="K24" s="3"/>
      <c r="L24" s="3"/>
      <c r="M24" s="3"/>
      <c r="N24" s="3"/>
      <c r="O24" s="3"/>
      <c r="P24" s="3"/>
      <c r="Q24" s="3"/>
      <c r="R24" s="3"/>
    </row>
    <row r="25" spans="1:18" ht="18">
      <c r="A25" s="3"/>
      <c r="B25" s="3"/>
      <c r="C25" s="3"/>
      <c r="D25" s="3"/>
      <c r="E25" s="3"/>
      <c r="F25" s="3"/>
      <c r="G25" s="3"/>
      <c r="H25" s="3"/>
      <c r="I25" s="3"/>
      <c r="J25" s="3"/>
      <c r="K25" s="3"/>
      <c r="L25" s="3"/>
      <c r="M25" s="3"/>
      <c r="N25" s="3"/>
      <c r="O25" s="3"/>
      <c r="P25" s="3"/>
      <c r="Q25" s="3"/>
      <c r="R25" s="3"/>
    </row>
    <row r="26" spans="1:18" ht="18">
      <c r="A26" s="3"/>
      <c r="B26" s="3"/>
      <c r="C26" s="6" t="s">
        <v>137</v>
      </c>
      <c r="D26" s="57"/>
      <c r="E26" s="57"/>
      <c r="F26" s="57"/>
      <c r="G26" s="57"/>
      <c r="H26" s="57"/>
      <c r="I26" s="57"/>
      <c r="J26" s="3"/>
      <c r="K26" s="3"/>
      <c r="L26" s="3"/>
      <c r="M26" s="3"/>
      <c r="N26" s="3"/>
      <c r="O26" s="3"/>
      <c r="P26" s="3"/>
      <c r="Q26" s="3"/>
      <c r="R26" s="3"/>
    </row>
    <row r="27" spans="1:18" ht="18">
      <c r="A27" s="3"/>
      <c r="B27" s="3"/>
      <c r="C27" s="20"/>
      <c r="D27" s="113"/>
      <c r="E27" s="14"/>
      <c r="F27" s="14"/>
      <c r="G27" s="14"/>
      <c r="H27" s="14"/>
      <c r="I27" s="14"/>
      <c r="J27" s="3"/>
      <c r="K27" s="3"/>
      <c r="L27" s="3"/>
      <c r="M27" s="3"/>
      <c r="N27" s="3"/>
      <c r="O27" s="3"/>
      <c r="P27" s="3"/>
      <c r="Q27" s="3"/>
      <c r="R27" s="3"/>
    </row>
    <row r="28" spans="1:18" ht="18">
      <c r="A28" s="3"/>
      <c r="B28" s="3"/>
      <c r="C28" s="20"/>
      <c r="D28" s="14"/>
      <c r="E28" s="14"/>
      <c r="F28" s="14"/>
      <c r="G28" s="14"/>
      <c r="H28" s="14"/>
      <c r="I28" s="14"/>
      <c r="J28" s="3"/>
      <c r="K28" s="3"/>
      <c r="L28" s="3"/>
      <c r="M28" s="3"/>
      <c r="N28" s="3"/>
      <c r="O28" s="3"/>
      <c r="P28" s="3"/>
      <c r="Q28" s="3"/>
      <c r="R28" s="3"/>
    </row>
    <row r="29" spans="1:18" ht="18">
      <c r="A29" s="3"/>
      <c r="B29" s="3"/>
      <c r="C29" s="6" t="s">
        <v>138</v>
      </c>
      <c r="D29" s="113"/>
      <c r="E29" s="14"/>
      <c r="F29" s="14"/>
      <c r="G29" s="6" t="s">
        <v>139</v>
      </c>
      <c r="H29" s="14"/>
      <c r="I29" s="14"/>
      <c r="J29" s="3"/>
      <c r="K29" s="3"/>
      <c r="L29" s="3"/>
      <c r="M29" s="3"/>
      <c r="N29" s="3"/>
      <c r="O29" s="3"/>
      <c r="P29" s="3"/>
      <c r="Q29" s="3"/>
      <c r="R29" s="3"/>
    </row>
    <row r="30" spans="1:18" ht="18">
      <c r="A30" s="3"/>
      <c r="B30" s="3"/>
      <c r="C30" s="20"/>
      <c r="D30" s="14"/>
      <c r="E30" s="14"/>
      <c r="F30" s="14"/>
      <c r="G30" s="14"/>
      <c r="H30" s="14"/>
      <c r="I30" s="14"/>
      <c r="J30" s="3"/>
      <c r="K30" s="3"/>
      <c r="L30" s="3"/>
      <c r="M30" s="3"/>
      <c r="N30" s="3"/>
      <c r="O30" s="3"/>
      <c r="P30" s="3"/>
      <c r="Q30" s="3"/>
      <c r="R30" s="3"/>
    </row>
    <row r="31" spans="1:18" ht="18">
      <c r="A31" s="3"/>
      <c r="B31" s="6" t="s">
        <v>140</v>
      </c>
      <c r="C31" s="6"/>
      <c r="D31" s="57"/>
      <c r="E31" s="57"/>
      <c r="F31" s="57"/>
      <c r="G31" s="57"/>
      <c r="H31" s="57"/>
      <c r="I31" s="123"/>
      <c r="J31" s="6" t="s">
        <v>143</v>
      </c>
      <c r="K31" s="57"/>
      <c r="L31" s="57"/>
      <c r="M31" s="57"/>
      <c r="N31" s="57"/>
      <c r="O31" s="123"/>
      <c r="P31" s="122"/>
      <c r="Q31" s="6" t="s">
        <v>144</v>
      </c>
      <c r="R31" s="3"/>
    </row>
    <row r="32" spans="1:18" ht="18">
      <c r="A32" s="3"/>
      <c r="B32" s="3"/>
      <c r="C32" s="3"/>
      <c r="D32" s="3"/>
      <c r="E32" s="3"/>
      <c r="F32" s="3"/>
      <c r="G32" s="3"/>
      <c r="H32" s="3"/>
      <c r="I32" s="3"/>
      <c r="J32" s="3"/>
      <c r="K32" s="3"/>
      <c r="L32" s="3"/>
      <c r="M32" s="3"/>
      <c r="N32" s="3"/>
      <c r="O32" s="3"/>
      <c r="P32" s="3"/>
      <c r="Q32" s="3"/>
      <c r="R32" s="3"/>
    </row>
    <row r="33" spans="1:21" ht="18">
      <c r="A33" s="3"/>
      <c r="B33" s="4" t="s">
        <v>2</v>
      </c>
      <c r="C33" s="4" t="s">
        <v>113</v>
      </c>
      <c r="D33" s="55"/>
      <c r="E33" s="55"/>
      <c r="F33" s="55"/>
      <c r="G33" s="55"/>
      <c r="H33" s="55"/>
      <c r="I33" s="55"/>
      <c r="J33" s="55"/>
      <c r="K33" s="55"/>
      <c r="L33" s="55"/>
      <c r="M33" s="3"/>
      <c r="N33" s="3"/>
      <c r="O33" s="3"/>
      <c r="P33" s="3"/>
      <c r="Q33" s="3"/>
      <c r="R33" s="3"/>
    </row>
    <row r="34" spans="1:21" ht="18">
      <c r="A34" s="3"/>
      <c r="B34" s="3"/>
      <c r="C34" s="3"/>
      <c r="D34" s="3"/>
      <c r="E34" s="3"/>
      <c r="F34" s="3"/>
      <c r="G34" s="3"/>
      <c r="H34" s="3"/>
      <c r="I34" s="3"/>
      <c r="J34" s="3"/>
      <c r="K34" s="3"/>
      <c r="L34" s="3"/>
      <c r="M34" s="3"/>
      <c r="N34" s="3"/>
      <c r="O34" s="3"/>
      <c r="P34" s="3"/>
      <c r="Q34" s="3"/>
      <c r="R34" s="3"/>
    </row>
    <row r="35" spans="1:21" ht="18">
      <c r="A35" s="3"/>
      <c r="B35" s="3"/>
      <c r="C35" s="6" t="s">
        <v>145</v>
      </c>
      <c r="D35" s="57"/>
      <c r="E35" s="57"/>
      <c r="F35" s="57"/>
      <c r="G35" s="57"/>
      <c r="H35" s="57"/>
      <c r="I35" s="57"/>
      <c r="J35" s="57"/>
      <c r="K35" s="3"/>
      <c r="L35" s="3"/>
      <c r="M35" s="3"/>
      <c r="N35" s="3"/>
      <c r="O35" s="3"/>
      <c r="P35" s="3"/>
      <c r="Q35" s="3"/>
      <c r="R35" s="3"/>
    </row>
    <row r="36" spans="1:21" ht="18">
      <c r="A36" s="3"/>
      <c r="B36" s="3"/>
      <c r="C36" s="6" t="s">
        <v>146</v>
      </c>
      <c r="D36" s="57"/>
      <c r="E36" s="57"/>
      <c r="F36" s="57"/>
      <c r="G36" s="57"/>
      <c r="H36" s="57"/>
      <c r="I36" s="57"/>
      <c r="J36" s="57"/>
      <c r="K36" s="57"/>
      <c r="L36" s="57"/>
      <c r="M36" s="57"/>
      <c r="N36" s="57"/>
      <c r="O36" s="57"/>
      <c r="P36" s="113"/>
      <c r="Q36" s="3"/>
      <c r="R36" s="3"/>
    </row>
    <row r="37" spans="1:21" ht="18">
      <c r="A37" s="3"/>
      <c r="B37" s="3"/>
      <c r="C37" s="6" t="s">
        <v>147</v>
      </c>
      <c r="D37" s="57"/>
      <c r="E37" s="57"/>
      <c r="F37" s="57"/>
      <c r="G37" s="57"/>
      <c r="H37" s="57"/>
      <c r="I37" s="57"/>
      <c r="J37" s="57"/>
      <c r="K37" s="57"/>
      <c r="L37" s="57"/>
      <c r="M37" s="57"/>
      <c r="N37" s="3"/>
      <c r="O37" s="3"/>
      <c r="P37" s="3"/>
      <c r="Q37" s="3"/>
      <c r="R37" s="3"/>
    </row>
    <row r="38" spans="1:21" ht="18">
      <c r="A38" s="3"/>
      <c r="B38" s="3"/>
      <c r="C38" s="3"/>
      <c r="D38" s="3"/>
      <c r="E38" s="3"/>
      <c r="F38" s="3"/>
      <c r="G38" s="3"/>
      <c r="H38" s="3"/>
      <c r="I38" s="3"/>
      <c r="J38" s="3"/>
      <c r="K38" s="3"/>
      <c r="L38" s="3"/>
      <c r="M38" s="3"/>
      <c r="N38" s="3"/>
      <c r="O38" s="3"/>
      <c r="P38" s="3"/>
      <c r="Q38" s="3"/>
      <c r="R38" s="3"/>
    </row>
    <row r="39" spans="1:21" ht="18">
      <c r="A39" s="3"/>
      <c r="B39" s="4" t="s">
        <v>3</v>
      </c>
      <c r="C39" s="4" t="s">
        <v>114</v>
      </c>
      <c r="D39" s="55"/>
      <c r="E39" s="55"/>
      <c r="F39" s="55"/>
      <c r="G39" s="55"/>
      <c r="H39" s="55"/>
      <c r="I39" s="55"/>
      <c r="J39" s="55"/>
      <c r="K39" s="55"/>
      <c r="L39" s="55"/>
      <c r="M39" s="55"/>
      <c r="N39" s="55"/>
      <c r="O39" s="55"/>
      <c r="P39" s="55"/>
      <c r="Q39" s="55"/>
      <c r="R39" s="55"/>
      <c r="S39" s="54"/>
      <c r="T39" s="54"/>
      <c r="U39" s="54"/>
    </row>
    <row r="40" spans="1:21" ht="18">
      <c r="A40" s="3"/>
      <c r="B40" s="3"/>
      <c r="C40" s="3"/>
      <c r="D40" s="3"/>
      <c r="E40" s="3"/>
      <c r="F40" s="3"/>
      <c r="G40" s="3"/>
      <c r="H40" s="3"/>
      <c r="I40" s="3"/>
      <c r="J40" s="3"/>
      <c r="K40" s="3"/>
      <c r="L40" s="3"/>
      <c r="M40" s="3"/>
      <c r="N40" s="3"/>
      <c r="O40" s="3"/>
      <c r="P40" s="3"/>
      <c r="Q40" s="3"/>
      <c r="R40" s="3"/>
    </row>
    <row r="41" spans="1:21" ht="18">
      <c r="A41" s="3"/>
      <c r="B41" s="3"/>
      <c r="C41" s="6" t="s">
        <v>141</v>
      </c>
      <c r="D41" s="57"/>
      <c r="E41" s="57"/>
      <c r="F41" s="57"/>
      <c r="G41" s="57"/>
      <c r="H41" s="57"/>
      <c r="I41" s="57"/>
      <c r="J41" s="57"/>
      <c r="K41" s="57"/>
      <c r="L41" s="3"/>
      <c r="M41" s="3"/>
      <c r="N41" s="3"/>
      <c r="O41" s="3"/>
      <c r="P41" s="3"/>
      <c r="Q41" s="3"/>
      <c r="R41" s="3"/>
    </row>
    <row r="42" spans="1:21" ht="18">
      <c r="A42" s="3"/>
      <c r="B42" s="3"/>
      <c r="C42" s="6" t="s">
        <v>142</v>
      </c>
      <c r="D42" s="57"/>
      <c r="E42" s="57"/>
      <c r="F42" s="57"/>
      <c r="G42" s="57"/>
      <c r="H42" s="57"/>
      <c r="I42" s="57"/>
      <c r="J42" s="57"/>
      <c r="K42" s="57"/>
      <c r="L42" s="57"/>
      <c r="M42" s="57"/>
      <c r="N42" s="57"/>
      <c r="O42" s="57"/>
      <c r="P42" s="57"/>
      <c r="Q42" s="57"/>
      <c r="R42" s="57"/>
      <c r="S42" s="47"/>
    </row>
    <row r="43" spans="1:21" ht="18">
      <c r="A43" s="3"/>
      <c r="B43" s="3"/>
      <c r="C43" s="3"/>
      <c r="D43" s="3"/>
      <c r="E43" s="3"/>
      <c r="F43" s="3"/>
      <c r="G43" s="3"/>
      <c r="H43" s="3"/>
      <c r="I43" s="3"/>
      <c r="J43" s="3"/>
      <c r="K43" s="3"/>
      <c r="L43" s="3"/>
      <c r="M43" s="3"/>
      <c r="N43" s="3"/>
      <c r="O43" s="3"/>
      <c r="P43" s="3"/>
      <c r="Q43" s="3"/>
      <c r="R43" s="3"/>
    </row>
    <row r="44" spans="1:21" ht="18">
      <c r="A44" s="3"/>
      <c r="B44" s="3"/>
      <c r="C44" s="3"/>
      <c r="D44" s="3"/>
      <c r="E44" s="3"/>
      <c r="F44" s="3"/>
      <c r="G44" s="3"/>
      <c r="H44" s="3"/>
      <c r="I44" s="3"/>
      <c r="J44" s="3"/>
      <c r="K44" s="3"/>
      <c r="L44" s="3"/>
      <c r="M44" s="3"/>
      <c r="N44" s="3"/>
      <c r="O44" s="3"/>
      <c r="P44" s="3"/>
      <c r="Q44" s="3"/>
      <c r="R44" s="3"/>
    </row>
    <row r="45" spans="1:21" ht="18">
      <c r="A45" s="3"/>
      <c r="B45" s="3"/>
      <c r="C45" s="3"/>
      <c r="D45" s="3"/>
      <c r="E45" s="3"/>
      <c r="F45" s="3"/>
      <c r="G45" s="3"/>
      <c r="H45" s="3"/>
      <c r="I45" s="3"/>
      <c r="J45" s="3"/>
      <c r="K45" s="3"/>
      <c r="L45" s="3"/>
      <c r="M45" s="3"/>
      <c r="N45" s="3"/>
      <c r="O45" s="3"/>
      <c r="P45" s="3"/>
      <c r="Q45" s="3"/>
      <c r="R45" s="3"/>
    </row>
    <row r="46" spans="1:21" ht="18">
      <c r="A46" s="3"/>
      <c r="B46" s="3"/>
      <c r="C46" s="3"/>
      <c r="D46" s="3"/>
      <c r="E46" s="3"/>
      <c r="F46" s="3"/>
      <c r="G46" s="3"/>
      <c r="H46" s="3"/>
      <c r="I46" s="3"/>
      <c r="J46" s="3"/>
      <c r="K46" s="3"/>
      <c r="L46" s="3"/>
      <c r="M46" s="3"/>
      <c r="N46" s="3"/>
      <c r="O46" s="3"/>
      <c r="P46" s="3"/>
      <c r="Q46" s="3"/>
      <c r="R46" s="3"/>
    </row>
    <row r="47" spans="1:21" ht="18">
      <c r="A47" s="3"/>
      <c r="B47" s="3"/>
      <c r="C47" s="3"/>
      <c r="D47" s="3"/>
      <c r="E47" s="3"/>
      <c r="F47" s="3"/>
      <c r="G47" s="3"/>
      <c r="H47" s="3"/>
      <c r="I47" s="3"/>
      <c r="J47" s="3"/>
      <c r="K47" s="3"/>
      <c r="L47" s="3"/>
      <c r="M47" s="3"/>
      <c r="N47" s="3"/>
      <c r="O47" s="3"/>
      <c r="P47" s="3"/>
      <c r="Q47" s="3"/>
      <c r="R47" s="3"/>
    </row>
    <row r="48" spans="1:21" ht="18">
      <c r="A48" s="3"/>
      <c r="B48" s="3"/>
      <c r="C48" s="3"/>
      <c r="D48" s="3"/>
      <c r="E48" s="3"/>
      <c r="F48" s="3"/>
      <c r="G48" s="3"/>
      <c r="H48" s="3"/>
      <c r="I48" s="3"/>
      <c r="J48" s="3"/>
      <c r="K48" s="3"/>
      <c r="L48" s="3"/>
      <c r="M48" s="3"/>
      <c r="N48" s="3"/>
      <c r="O48" s="3"/>
      <c r="P48" s="3"/>
      <c r="Q48" s="3"/>
      <c r="R48" s="3"/>
    </row>
    <row r="49" spans="1:18" ht="18">
      <c r="A49" s="3"/>
      <c r="B49" s="3"/>
      <c r="C49" s="3"/>
      <c r="D49" s="3"/>
      <c r="E49" s="3"/>
      <c r="F49" s="3"/>
      <c r="G49" s="3"/>
      <c r="H49" s="3"/>
      <c r="I49" s="3"/>
      <c r="J49" s="3"/>
      <c r="K49" s="3"/>
      <c r="L49" s="3"/>
      <c r="M49" s="3"/>
      <c r="N49" s="3"/>
      <c r="O49" s="3"/>
      <c r="P49" s="3"/>
      <c r="Q49" s="3"/>
      <c r="R49" s="3"/>
    </row>
    <row r="50" spans="1:18" ht="18">
      <c r="A50" s="3"/>
      <c r="B50" s="3"/>
      <c r="C50" s="3"/>
      <c r="D50" s="3"/>
      <c r="E50" s="3"/>
      <c r="F50" s="3"/>
      <c r="G50" s="3"/>
      <c r="H50" s="3"/>
      <c r="I50" s="3"/>
      <c r="J50" s="3"/>
      <c r="K50" s="3"/>
      <c r="L50" s="3"/>
      <c r="M50" s="3"/>
      <c r="N50" s="3"/>
      <c r="O50" s="3"/>
      <c r="P50" s="3"/>
      <c r="Q50" s="3"/>
      <c r="R50" s="3"/>
    </row>
    <row r="51" spans="1:18" ht="18">
      <c r="A51" s="3"/>
      <c r="B51" s="3"/>
      <c r="C51" s="3"/>
      <c r="D51" s="3"/>
      <c r="E51" s="3"/>
      <c r="F51" s="3"/>
      <c r="G51" s="3"/>
      <c r="H51" s="3"/>
      <c r="I51" s="3"/>
      <c r="J51" s="3"/>
      <c r="K51" s="3"/>
      <c r="L51" s="3"/>
      <c r="M51" s="3"/>
      <c r="N51" s="3"/>
      <c r="O51" s="3"/>
      <c r="P51" s="3"/>
      <c r="Q51" s="3"/>
      <c r="R51" s="3"/>
    </row>
    <row r="52" spans="1:18" ht="18">
      <c r="A52" s="3"/>
      <c r="B52" s="3"/>
      <c r="C52" s="3"/>
      <c r="D52" s="3"/>
      <c r="E52" s="3"/>
      <c r="F52" s="3"/>
      <c r="G52" s="3"/>
      <c r="H52" s="3"/>
      <c r="I52" s="3"/>
      <c r="J52" s="3"/>
      <c r="K52" s="3"/>
      <c r="L52" s="3"/>
      <c r="M52" s="3"/>
      <c r="N52" s="3"/>
      <c r="O52" s="3"/>
      <c r="P52" s="3"/>
      <c r="Q52" s="3"/>
      <c r="R52" s="3"/>
    </row>
    <row r="53" spans="1:18" ht="18">
      <c r="A53" s="3"/>
      <c r="B53" s="3"/>
      <c r="C53" s="3"/>
      <c r="D53" s="3"/>
      <c r="E53" s="3"/>
      <c r="F53" s="3"/>
      <c r="G53" s="3"/>
      <c r="H53" s="3"/>
      <c r="I53" s="3"/>
      <c r="J53" s="3"/>
      <c r="K53" s="3"/>
      <c r="L53" s="3"/>
      <c r="M53" s="3"/>
      <c r="N53" s="3"/>
      <c r="O53" s="3"/>
      <c r="P53" s="3"/>
      <c r="Q53" s="3"/>
      <c r="R53" s="3"/>
    </row>
    <row r="54" spans="1:18" ht="18">
      <c r="A54" s="3"/>
      <c r="B54" s="3"/>
      <c r="C54" s="3"/>
      <c r="D54" s="3"/>
      <c r="E54" s="3"/>
      <c r="F54" s="3"/>
      <c r="G54" s="3"/>
      <c r="H54" s="3"/>
      <c r="I54" s="3"/>
      <c r="J54" s="3"/>
      <c r="K54" s="3"/>
      <c r="L54" s="3"/>
      <c r="M54" s="3"/>
      <c r="N54" s="3"/>
      <c r="O54" s="3"/>
      <c r="P54" s="3"/>
      <c r="Q54" s="3"/>
      <c r="R54" s="3"/>
    </row>
    <row r="55" spans="1:18" ht="18">
      <c r="A55" s="3"/>
      <c r="B55" s="3"/>
      <c r="C55" s="3"/>
      <c r="D55" s="3"/>
      <c r="E55" s="3"/>
      <c r="F55" s="3"/>
      <c r="G55" s="3"/>
      <c r="H55" s="3"/>
      <c r="I55" s="3"/>
      <c r="J55" s="3"/>
      <c r="K55" s="3"/>
      <c r="L55" s="3"/>
      <c r="M55" s="3"/>
      <c r="N55" s="3"/>
      <c r="O55" s="3"/>
      <c r="P55" s="3"/>
      <c r="Q55" s="3"/>
      <c r="R55" s="3"/>
    </row>
    <row r="56" spans="1:18" ht="18">
      <c r="A56" s="3"/>
      <c r="B56" s="3"/>
      <c r="C56" s="3"/>
      <c r="D56" s="3"/>
      <c r="E56" s="3"/>
      <c r="F56" s="3"/>
      <c r="G56" s="3"/>
      <c r="H56" s="3"/>
      <c r="I56" s="3"/>
      <c r="J56" s="3"/>
      <c r="K56" s="3"/>
      <c r="L56" s="3"/>
      <c r="M56" s="3"/>
      <c r="N56" s="3"/>
      <c r="O56" s="3"/>
      <c r="P56" s="3"/>
      <c r="Q56" s="3"/>
      <c r="R56" s="3"/>
    </row>
    <row r="57" spans="1:18" ht="18">
      <c r="A57" s="3"/>
      <c r="B57" s="3"/>
      <c r="C57" s="3"/>
      <c r="D57" s="3"/>
      <c r="E57" s="3"/>
      <c r="F57" s="3"/>
      <c r="G57" s="3"/>
      <c r="H57" s="3"/>
      <c r="I57" s="3"/>
      <c r="J57" s="3"/>
      <c r="K57" s="3"/>
      <c r="L57" s="3"/>
      <c r="M57" s="3"/>
      <c r="N57" s="3"/>
      <c r="O57" s="3"/>
      <c r="P57" s="3"/>
      <c r="Q57" s="3"/>
      <c r="R57" s="3"/>
    </row>
    <row r="58" spans="1:18" ht="18">
      <c r="A58" s="3"/>
      <c r="B58" s="3"/>
      <c r="C58" s="3"/>
      <c r="D58" s="3"/>
      <c r="E58" s="3"/>
      <c r="F58" s="3"/>
      <c r="G58" s="3"/>
      <c r="H58" s="3"/>
      <c r="I58" s="3"/>
      <c r="J58" s="3"/>
      <c r="K58" s="3"/>
      <c r="L58" s="3"/>
      <c r="M58" s="3"/>
      <c r="N58" s="3"/>
      <c r="O58" s="3"/>
      <c r="P58" s="3"/>
      <c r="Q58" s="3"/>
      <c r="R58" s="3"/>
    </row>
    <row r="59" spans="1:18" ht="18">
      <c r="A59" s="3"/>
      <c r="B59" s="3"/>
      <c r="C59" s="3"/>
      <c r="D59" s="3"/>
      <c r="E59" s="3"/>
      <c r="F59" s="3"/>
      <c r="G59" s="3"/>
      <c r="H59" s="3"/>
      <c r="I59" s="3"/>
      <c r="J59" s="3"/>
      <c r="K59" s="3"/>
      <c r="L59" s="3"/>
      <c r="M59" s="3"/>
      <c r="N59" s="3"/>
      <c r="O59" s="3"/>
      <c r="P59" s="3"/>
      <c r="Q59" s="3"/>
      <c r="R59" s="3"/>
    </row>
    <row r="60" spans="1:18" ht="18">
      <c r="A60" s="3"/>
      <c r="B60" s="3"/>
      <c r="C60" s="3"/>
      <c r="D60" s="3"/>
      <c r="E60" s="3"/>
      <c r="F60" s="3"/>
      <c r="G60" s="3"/>
      <c r="H60" s="3"/>
      <c r="I60" s="3"/>
      <c r="J60" s="3"/>
      <c r="K60" s="3"/>
      <c r="L60" s="3"/>
      <c r="M60" s="3"/>
      <c r="N60" s="3"/>
      <c r="O60" s="3"/>
      <c r="P60" s="3"/>
      <c r="Q60" s="3"/>
      <c r="R60" s="3"/>
    </row>
    <row r="61" spans="1:18" ht="18">
      <c r="A61" s="3"/>
      <c r="B61" s="3"/>
      <c r="C61" s="3"/>
      <c r="D61" s="3"/>
      <c r="E61" s="3"/>
      <c r="F61" s="3"/>
      <c r="G61" s="3"/>
      <c r="H61" s="3"/>
      <c r="I61" s="3"/>
      <c r="J61" s="3"/>
      <c r="K61" s="3"/>
      <c r="L61" s="3"/>
      <c r="M61" s="3"/>
      <c r="N61" s="3"/>
      <c r="O61" s="3"/>
      <c r="P61" s="3"/>
      <c r="Q61" s="3"/>
      <c r="R61" s="3"/>
    </row>
    <row r="62" spans="1:18" ht="18">
      <c r="A62" s="3"/>
      <c r="B62" s="3"/>
      <c r="C62" s="3"/>
      <c r="D62" s="3"/>
      <c r="E62" s="3"/>
      <c r="F62" s="3"/>
      <c r="G62" s="3"/>
      <c r="H62" s="3"/>
      <c r="I62" s="3"/>
      <c r="J62" s="3"/>
      <c r="K62" s="3"/>
      <c r="L62" s="3"/>
      <c r="M62" s="3"/>
      <c r="N62" s="3"/>
      <c r="O62" s="3"/>
      <c r="P62" s="3"/>
      <c r="Q62" s="3"/>
      <c r="R62" s="3"/>
    </row>
    <row r="63" spans="1:18" ht="18">
      <c r="A63" s="3"/>
      <c r="B63" s="3"/>
      <c r="C63" s="3"/>
      <c r="D63" s="3"/>
      <c r="E63" s="3"/>
      <c r="F63" s="3"/>
      <c r="G63" s="3"/>
      <c r="H63" s="3"/>
      <c r="I63" s="3"/>
      <c r="J63" s="3"/>
      <c r="K63" s="3"/>
      <c r="L63" s="3"/>
      <c r="M63" s="3"/>
      <c r="N63" s="3"/>
      <c r="O63" s="3"/>
      <c r="P63" s="3"/>
      <c r="Q63" s="3"/>
      <c r="R63" s="3"/>
    </row>
    <row r="64" spans="1:18" ht="18">
      <c r="A64" s="3"/>
      <c r="B64" s="3"/>
      <c r="C64" s="3"/>
      <c r="D64" s="3"/>
      <c r="E64" s="3"/>
      <c r="F64" s="3"/>
      <c r="G64" s="3"/>
      <c r="H64" s="3"/>
      <c r="I64" s="3"/>
      <c r="J64" s="3"/>
      <c r="K64" s="3"/>
      <c r="L64" s="3"/>
      <c r="M64" s="3"/>
      <c r="N64" s="3"/>
      <c r="O64" s="3"/>
      <c r="P64" s="3"/>
      <c r="Q64" s="3"/>
      <c r="R64" s="3"/>
    </row>
    <row r="65" spans="1:18" ht="18">
      <c r="A65" s="3"/>
      <c r="B65" s="3"/>
      <c r="C65" s="3"/>
      <c r="D65" s="3"/>
      <c r="E65" s="3"/>
      <c r="F65" s="3"/>
      <c r="G65" s="3"/>
      <c r="H65" s="3"/>
      <c r="I65" s="3"/>
      <c r="J65" s="3"/>
      <c r="K65" s="3"/>
      <c r="L65" s="3"/>
      <c r="M65" s="3"/>
      <c r="N65" s="3"/>
      <c r="O65" s="3"/>
      <c r="P65" s="3"/>
      <c r="Q65" s="3"/>
      <c r="R65" s="3"/>
    </row>
    <row r="66" spans="1:18" ht="18">
      <c r="A66" s="3"/>
      <c r="B66" s="3"/>
      <c r="C66" s="3"/>
      <c r="D66" s="3"/>
      <c r="E66" s="3"/>
      <c r="F66" s="3"/>
      <c r="G66" s="3"/>
      <c r="H66" s="3"/>
      <c r="I66" s="3"/>
      <c r="J66" s="3"/>
      <c r="K66" s="3"/>
      <c r="L66" s="3"/>
      <c r="M66" s="3"/>
      <c r="N66" s="3"/>
      <c r="O66" s="3"/>
      <c r="P66" s="3"/>
      <c r="Q66" s="3"/>
      <c r="R66" s="3"/>
    </row>
    <row r="67" spans="1:18" ht="18">
      <c r="A67" s="3"/>
      <c r="B67" s="3"/>
      <c r="C67" s="3"/>
      <c r="D67" s="3"/>
      <c r="E67" s="3"/>
      <c r="F67" s="3"/>
      <c r="G67" s="3"/>
      <c r="H67" s="3"/>
      <c r="I67" s="3"/>
      <c r="J67" s="3"/>
      <c r="K67" s="3"/>
      <c r="L67" s="3"/>
      <c r="M67" s="3"/>
      <c r="N67" s="3"/>
      <c r="O67" s="3"/>
      <c r="P67" s="3"/>
      <c r="Q67" s="3"/>
      <c r="R67" s="3"/>
    </row>
    <row r="68" spans="1:18" ht="18">
      <c r="A68" s="3"/>
      <c r="B68" s="3"/>
      <c r="C68" s="3"/>
      <c r="D68" s="3"/>
      <c r="E68" s="3"/>
      <c r="F68" s="3"/>
      <c r="G68" s="3"/>
      <c r="H68" s="3"/>
      <c r="I68" s="3"/>
      <c r="J68" s="3"/>
      <c r="K68" s="3"/>
      <c r="L68" s="3"/>
      <c r="M68" s="3"/>
      <c r="N68" s="3"/>
      <c r="O68" s="3"/>
      <c r="P68" s="3"/>
      <c r="Q68" s="3"/>
      <c r="R68" s="3"/>
    </row>
    <row r="69" spans="1:18" ht="18">
      <c r="A69" s="3"/>
      <c r="B69" s="3"/>
      <c r="C69" s="3"/>
      <c r="D69" s="3"/>
      <c r="E69" s="3"/>
      <c r="F69" s="3"/>
      <c r="G69" s="3"/>
      <c r="H69" s="3"/>
      <c r="I69" s="3"/>
      <c r="J69" s="3"/>
      <c r="K69" s="3"/>
      <c r="L69" s="3"/>
      <c r="M69" s="3"/>
      <c r="N69" s="3"/>
      <c r="O69" s="3"/>
      <c r="P69" s="3"/>
      <c r="Q69" s="3"/>
      <c r="R69" s="3"/>
    </row>
    <row r="70" spans="1:18" ht="18">
      <c r="A70" s="3"/>
      <c r="B70" s="3"/>
      <c r="C70" s="3"/>
      <c r="D70" s="3"/>
      <c r="E70" s="3"/>
      <c r="F70" s="3"/>
      <c r="G70" s="3"/>
      <c r="H70" s="3"/>
      <c r="I70" s="3"/>
      <c r="J70" s="3"/>
      <c r="K70" s="3"/>
      <c r="L70" s="3"/>
      <c r="M70" s="3"/>
      <c r="N70" s="3"/>
      <c r="O70" s="3"/>
      <c r="P70" s="3"/>
      <c r="Q70" s="3"/>
      <c r="R70" s="3"/>
    </row>
    <row r="71" spans="1:18" ht="18">
      <c r="A71" s="3"/>
      <c r="B71" s="3"/>
      <c r="C71" s="3"/>
      <c r="D71" s="3"/>
      <c r="E71" s="3"/>
      <c r="F71" s="3"/>
      <c r="G71" s="3"/>
      <c r="H71" s="3"/>
      <c r="I71" s="3"/>
      <c r="J71" s="3"/>
      <c r="K71" s="3"/>
      <c r="L71" s="3"/>
      <c r="M71" s="3"/>
      <c r="N71" s="3"/>
      <c r="O71" s="3"/>
      <c r="P71" s="3"/>
      <c r="Q71" s="3"/>
      <c r="R71" s="3"/>
    </row>
    <row r="72" spans="1:18" ht="18">
      <c r="A72" s="3"/>
      <c r="B72" s="3"/>
      <c r="C72" s="3"/>
      <c r="D72" s="3"/>
      <c r="E72" s="3"/>
      <c r="F72" s="3"/>
      <c r="G72" s="3"/>
      <c r="H72" s="3"/>
      <c r="I72" s="3"/>
      <c r="J72" s="3"/>
      <c r="K72" s="3"/>
      <c r="L72" s="3"/>
      <c r="M72" s="3"/>
      <c r="N72" s="3"/>
      <c r="O72" s="3"/>
      <c r="P72" s="3"/>
      <c r="Q72" s="3"/>
      <c r="R72" s="3"/>
    </row>
    <row r="73" spans="1:18" ht="18">
      <c r="A73" s="3"/>
      <c r="B73" s="3"/>
      <c r="C73" s="3"/>
      <c r="D73" s="3"/>
      <c r="E73" s="3"/>
      <c r="F73" s="3"/>
      <c r="G73" s="3"/>
      <c r="H73" s="3"/>
      <c r="I73" s="3"/>
      <c r="J73" s="3"/>
      <c r="K73" s="3"/>
      <c r="L73" s="3"/>
      <c r="M73" s="3"/>
      <c r="N73" s="3"/>
      <c r="O73" s="3"/>
      <c r="P73" s="3"/>
      <c r="Q73" s="3"/>
      <c r="R73" s="3"/>
    </row>
    <row r="74" spans="1:18" ht="18">
      <c r="A74" s="3"/>
      <c r="B74" s="3"/>
      <c r="C74" s="3"/>
      <c r="D74" s="3"/>
      <c r="E74" s="3"/>
      <c r="F74" s="3"/>
      <c r="G74" s="3"/>
      <c r="H74" s="3"/>
      <c r="I74" s="3"/>
      <c r="J74" s="3"/>
      <c r="K74" s="3"/>
      <c r="L74" s="3"/>
      <c r="M74" s="3"/>
      <c r="N74" s="3"/>
      <c r="O74" s="3"/>
      <c r="P74" s="3"/>
      <c r="Q74" s="3"/>
      <c r="R74" s="3"/>
    </row>
    <row r="75" spans="1:18" ht="18">
      <c r="A75" s="3"/>
      <c r="B75" s="3"/>
      <c r="C75" s="3"/>
      <c r="D75" s="3"/>
      <c r="E75" s="3"/>
      <c r="F75" s="3"/>
      <c r="G75" s="3"/>
      <c r="H75" s="3"/>
      <c r="I75" s="3"/>
      <c r="J75" s="3"/>
      <c r="K75" s="3"/>
      <c r="L75" s="3"/>
      <c r="M75" s="3"/>
      <c r="N75" s="3"/>
      <c r="O75" s="3"/>
      <c r="P75" s="3"/>
      <c r="Q75" s="3"/>
      <c r="R75" s="3"/>
    </row>
    <row r="76" spans="1:18" ht="18">
      <c r="A76" s="3"/>
      <c r="B76" s="3"/>
      <c r="C76" s="3"/>
      <c r="D76" s="3"/>
      <c r="E76" s="3"/>
      <c r="F76" s="3"/>
      <c r="G76" s="3"/>
      <c r="H76" s="3"/>
      <c r="I76" s="3"/>
      <c r="J76" s="3"/>
      <c r="K76" s="3"/>
      <c r="L76" s="3"/>
      <c r="M76" s="3"/>
      <c r="N76" s="3"/>
      <c r="O76" s="3"/>
      <c r="P76" s="3"/>
      <c r="Q76" s="3"/>
      <c r="R76" s="3"/>
    </row>
    <row r="77" spans="1:18" ht="18">
      <c r="A77" s="3"/>
      <c r="B77" s="3"/>
      <c r="C77" s="3"/>
      <c r="D77" s="3"/>
      <c r="E77" s="3"/>
      <c r="F77" s="3"/>
      <c r="G77" s="3"/>
      <c r="H77" s="3"/>
      <c r="I77" s="3"/>
      <c r="J77" s="3"/>
      <c r="K77" s="3"/>
      <c r="L77" s="3"/>
      <c r="M77" s="3"/>
      <c r="N77" s="3"/>
      <c r="O77" s="3"/>
      <c r="P77" s="3"/>
      <c r="Q77" s="3"/>
      <c r="R77" s="3"/>
    </row>
    <row r="78" spans="1:18" ht="18">
      <c r="A78" s="3"/>
      <c r="B78" s="3"/>
      <c r="C78" s="3"/>
      <c r="D78" s="3"/>
      <c r="E78" s="3"/>
      <c r="F78" s="3"/>
      <c r="G78" s="3"/>
      <c r="H78" s="3"/>
      <c r="I78" s="3"/>
      <c r="J78" s="3"/>
      <c r="K78" s="3"/>
      <c r="L78" s="3"/>
      <c r="M78" s="3"/>
      <c r="N78" s="3"/>
      <c r="O78" s="3"/>
      <c r="P78" s="3"/>
      <c r="Q78" s="3"/>
      <c r="R78" s="3"/>
    </row>
    <row r="79" spans="1:18" ht="18">
      <c r="A79" s="3"/>
      <c r="B79" s="3"/>
      <c r="C79" s="3"/>
      <c r="D79" s="3"/>
      <c r="E79" s="3"/>
      <c r="F79" s="3"/>
      <c r="G79" s="3"/>
      <c r="H79" s="3"/>
      <c r="I79" s="3"/>
      <c r="J79" s="3"/>
      <c r="K79" s="3"/>
      <c r="L79" s="3"/>
      <c r="M79" s="3"/>
      <c r="N79" s="3"/>
      <c r="O79" s="3"/>
      <c r="P79" s="3"/>
      <c r="Q79" s="3"/>
      <c r="R79" s="3"/>
    </row>
    <row r="80" spans="1:18" ht="18">
      <c r="A80" s="3"/>
      <c r="B80" s="3"/>
      <c r="C80" s="3"/>
      <c r="D80" s="3"/>
      <c r="E80" s="3"/>
      <c r="F80" s="3"/>
      <c r="G80" s="3"/>
      <c r="H80" s="3"/>
      <c r="I80" s="3"/>
      <c r="J80" s="3"/>
      <c r="K80" s="3"/>
      <c r="L80" s="3"/>
      <c r="M80" s="3"/>
      <c r="N80" s="3"/>
      <c r="O80" s="3"/>
      <c r="P80" s="3"/>
      <c r="Q80" s="3"/>
      <c r="R80" s="3"/>
    </row>
    <row r="81" spans="1:18" ht="18">
      <c r="A81" s="3"/>
      <c r="B81" s="3"/>
      <c r="C81" s="3"/>
      <c r="D81" s="3"/>
      <c r="E81" s="3"/>
      <c r="F81" s="3"/>
      <c r="G81" s="3"/>
      <c r="H81" s="3"/>
      <c r="I81" s="3"/>
      <c r="J81" s="3"/>
      <c r="K81" s="3"/>
      <c r="L81" s="3"/>
      <c r="M81" s="3"/>
      <c r="N81" s="3"/>
      <c r="O81" s="3"/>
      <c r="P81" s="3"/>
      <c r="Q81" s="3"/>
      <c r="R81" s="3"/>
    </row>
    <row r="82" spans="1:18" ht="18">
      <c r="A82" s="3"/>
      <c r="B82" s="3"/>
      <c r="C82" s="3"/>
      <c r="D82" s="3"/>
      <c r="E82" s="3"/>
      <c r="F82" s="3"/>
      <c r="G82" s="3"/>
      <c r="H82" s="3"/>
      <c r="I82" s="3"/>
      <c r="J82" s="3"/>
      <c r="K82" s="3"/>
      <c r="L82" s="3"/>
      <c r="M82" s="3"/>
      <c r="N82" s="3"/>
      <c r="O82" s="3"/>
      <c r="P82" s="3"/>
      <c r="Q82" s="3"/>
      <c r="R82" s="3"/>
    </row>
  </sheetData>
  <pageMargins left="0.75" right="0.75" top="1" bottom="1" header="0.5" footer="0.5"/>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U239"/>
  <sheetViews>
    <sheetView tabSelected="1" workbookViewId="0">
      <selection activeCell="H127" sqref="H127"/>
    </sheetView>
  </sheetViews>
  <sheetFormatPr baseColWidth="10" defaultRowHeight="15" x14ac:dyDescent="0"/>
  <cols>
    <col min="4" max="4" width="15" customWidth="1"/>
    <col min="5" max="5" width="15.83203125" customWidth="1"/>
    <col min="6" max="6" width="15.6640625" customWidth="1"/>
    <col min="7" max="7" width="15.5" customWidth="1"/>
    <col min="8" max="8" width="16.83203125" customWidth="1"/>
    <col min="9" max="9" width="12" customWidth="1"/>
    <col min="10" max="10" width="12.6640625" customWidth="1"/>
    <col min="11" max="11" width="12.83203125" customWidth="1"/>
    <col min="12" max="12" width="14.6640625" customWidth="1"/>
    <col min="13" max="13" width="15.33203125" customWidth="1"/>
    <col min="14" max="14" width="13.83203125" customWidth="1"/>
    <col min="15" max="15" width="17" customWidth="1"/>
    <col min="16" max="16" width="17.1640625" customWidth="1"/>
  </cols>
  <sheetData>
    <row r="1" spans="1:21" ht="25">
      <c r="A1" s="1" t="s">
        <v>62</v>
      </c>
      <c r="B1" s="2"/>
      <c r="C1" s="84" t="s">
        <v>64</v>
      </c>
    </row>
    <row r="2" spans="1:21" ht="18">
      <c r="A2" s="3"/>
      <c r="B2" s="3"/>
      <c r="C2" s="20" t="s">
        <v>65</v>
      </c>
      <c r="D2" s="20"/>
      <c r="E2" s="20"/>
      <c r="F2" s="20"/>
      <c r="G2" s="20"/>
      <c r="H2" s="20"/>
      <c r="I2" s="14"/>
      <c r="J2" s="14"/>
      <c r="K2" s="14"/>
      <c r="L2" s="14"/>
      <c r="M2" s="3"/>
      <c r="N2" s="3"/>
      <c r="O2" s="3"/>
      <c r="P2" s="3"/>
      <c r="Q2" s="3"/>
      <c r="R2" s="3"/>
      <c r="S2" s="3"/>
      <c r="T2" s="3"/>
      <c r="U2" s="3"/>
    </row>
    <row r="3" spans="1:21" ht="18">
      <c r="A3" s="3"/>
      <c r="B3" s="3"/>
      <c r="C3" s="5" t="s">
        <v>66</v>
      </c>
      <c r="D3" s="3"/>
      <c r="E3" s="3"/>
      <c r="F3" s="3"/>
      <c r="G3" s="3"/>
      <c r="H3" s="3"/>
      <c r="I3" s="3"/>
      <c r="J3" s="3"/>
      <c r="K3" s="3"/>
      <c r="L3" s="3"/>
      <c r="M3" s="3"/>
      <c r="N3" s="3"/>
      <c r="O3" s="3"/>
      <c r="P3" s="3"/>
      <c r="Q3" s="3"/>
      <c r="R3" s="3"/>
      <c r="S3" s="3"/>
      <c r="T3" s="3"/>
      <c r="U3" s="3"/>
    </row>
    <row r="4" spans="1:21" ht="18">
      <c r="A4" s="3"/>
      <c r="B4" s="3"/>
      <c r="C4" s="3"/>
      <c r="D4" s="3"/>
      <c r="E4" s="3"/>
      <c r="F4" s="3"/>
      <c r="G4" s="3"/>
      <c r="H4" s="3"/>
      <c r="I4" s="3"/>
      <c r="J4" s="3"/>
      <c r="K4" s="3"/>
      <c r="L4" s="3"/>
      <c r="M4" s="3"/>
      <c r="N4" s="3"/>
      <c r="O4" s="3"/>
      <c r="P4" s="3"/>
      <c r="Q4" s="3"/>
      <c r="R4" s="3"/>
      <c r="S4" s="3"/>
      <c r="T4" s="3"/>
      <c r="U4" s="3"/>
    </row>
    <row r="5" spans="1:21" ht="18">
      <c r="A5" s="3"/>
      <c r="B5" s="4" t="s">
        <v>0</v>
      </c>
      <c r="C5" s="4" t="s">
        <v>67</v>
      </c>
      <c r="D5" s="55"/>
      <c r="E5" s="55"/>
      <c r="F5" s="55"/>
      <c r="G5" s="55"/>
      <c r="H5" s="55"/>
      <c r="I5" s="55"/>
      <c r="J5" s="14"/>
      <c r="K5" s="14"/>
      <c r="L5" s="3"/>
      <c r="M5" s="3"/>
      <c r="N5" s="3"/>
      <c r="O5" s="3"/>
      <c r="P5" s="3"/>
      <c r="Q5" s="3"/>
      <c r="R5" s="3"/>
      <c r="S5" s="3"/>
      <c r="T5" s="3"/>
      <c r="U5" s="3"/>
    </row>
    <row r="6" spans="1:21" ht="19" thickBot="1">
      <c r="A6" s="3"/>
      <c r="B6" s="3"/>
      <c r="C6" s="3"/>
      <c r="D6" s="3"/>
      <c r="E6" s="3"/>
      <c r="F6" s="3"/>
      <c r="G6" s="3"/>
      <c r="H6" s="3"/>
      <c r="I6" s="3"/>
      <c r="J6" s="3"/>
      <c r="K6" s="3"/>
      <c r="L6" s="3"/>
      <c r="M6" s="3"/>
      <c r="N6" s="3"/>
      <c r="O6" s="3"/>
      <c r="P6" s="3"/>
      <c r="Q6" s="3"/>
      <c r="R6" s="3"/>
      <c r="S6" s="3"/>
      <c r="T6" s="3"/>
      <c r="U6" s="3"/>
    </row>
    <row r="7" spans="1:21" ht="18">
      <c r="A7" s="3"/>
      <c r="B7" s="83" t="s">
        <v>68</v>
      </c>
      <c r="C7" s="59" t="s">
        <v>5</v>
      </c>
      <c r="D7" s="72" t="s">
        <v>6</v>
      </c>
      <c r="E7" s="72" t="s">
        <v>8</v>
      </c>
      <c r="F7" s="72" t="s">
        <v>9</v>
      </c>
      <c r="G7" s="72" t="s">
        <v>10</v>
      </c>
      <c r="H7" s="15" t="s">
        <v>49</v>
      </c>
      <c r="I7" s="3"/>
      <c r="J7" s="83" t="s">
        <v>71</v>
      </c>
      <c r="K7" s="59" t="s">
        <v>5</v>
      </c>
      <c r="L7" s="72" t="s">
        <v>6</v>
      </c>
      <c r="M7" s="72" t="s">
        <v>8</v>
      </c>
      <c r="N7" s="72" t="s">
        <v>9</v>
      </c>
      <c r="O7" s="72" t="s">
        <v>10</v>
      </c>
      <c r="P7" s="15" t="s">
        <v>49</v>
      </c>
      <c r="Q7" s="3"/>
      <c r="R7" s="3"/>
      <c r="S7" s="3"/>
      <c r="T7" s="3"/>
      <c r="U7" s="3"/>
    </row>
    <row r="8" spans="1:21" ht="18">
      <c r="A8" s="3"/>
      <c r="B8" s="3"/>
      <c r="C8" s="74">
        <v>0.5</v>
      </c>
      <c r="D8" s="69">
        <v>2.5000000000000001E-2</v>
      </c>
      <c r="E8" s="69">
        <f>EXP(-D8*C8)</f>
        <v>0.98757780049388144</v>
      </c>
      <c r="F8" s="70">
        <v>2</v>
      </c>
      <c r="G8" s="87">
        <f>F8*E8</f>
        <v>1.9751556009877629</v>
      </c>
      <c r="H8" s="88">
        <f>C8*F8*EXP(-0.025*C8)</f>
        <v>0.98757780049388144</v>
      </c>
      <c r="I8" s="3"/>
      <c r="J8" s="3"/>
      <c r="K8" s="74">
        <v>1</v>
      </c>
      <c r="L8" s="69">
        <v>0.05</v>
      </c>
      <c r="M8" s="69">
        <f>EXP(-L8*K8)</f>
        <v>0.95122942450071402</v>
      </c>
      <c r="N8" s="92">
        <v>1.5</v>
      </c>
      <c r="O8" s="87">
        <f>N8*M8</f>
        <v>1.4268441367510709</v>
      </c>
      <c r="P8" s="88">
        <f>K8*N8*EXP(-0.05*K8)</f>
        <v>1.4268441367510709</v>
      </c>
      <c r="Q8" s="3"/>
      <c r="R8" s="3"/>
      <c r="S8" s="3"/>
      <c r="T8" s="3"/>
      <c r="U8" s="3"/>
    </row>
    <row r="9" spans="1:21" ht="18">
      <c r="A9" s="3"/>
      <c r="B9" s="3"/>
      <c r="C9" s="74">
        <v>1</v>
      </c>
      <c r="D9" s="69">
        <v>2.5000000000000001E-2</v>
      </c>
      <c r="E9" s="69">
        <f t="shared" ref="E9:E17" si="0">EXP(-D9*C9)</f>
        <v>0.97530991202833262</v>
      </c>
      <c r="F9" s="70">
        <v>2</v>
      </c>
      <c r="G9" s="87">
        <f t="shared" ref="G9:G17" si="1">F9*E9</f>
        <v>1.9506198240566652</v>
      </c>
      <c r="H9" s="88">
        <f t="shared" ref="H9:H17" si="2">C9*F9*EXP(-0.025*C9)</f>
        <v>1.9506198240566652</v>
      </c>
      <c r="I9" s="3"/>
      <c r="J9" s="3"/>
      <c r="K9" s="74">
        <v>2</v>
      </c>
      <c r="L9" s="69">
        <v>0.05</v>
      </c>
      <c r="M9" s="69">
        <f>EXP(-L9*K9)</f>
        <v>0.90483741803595952</v>
      </c>
      <c r="N9" s="92">
        <v>1.5</v>
      </c>
      <c r="O9" s="87">
        <f>N9*M9</f>
        <v>1.3572561270539394</v>
      </c>
      <c r="P9" s="88">
        <f t="shared" ref="P9:P10" si="3">K9*N9*EXP(-0.05*K9)</f>
        <v>2.7145122541078788</v>
      </c>
      <c r="Q9" s="3"/>
      <c r="R9" s="3"/>
      <c r="S9" s="3"/>
      <c r="T9" s="3"/>
      <c r="U9" s="3"/>
    </row>
    <row r="10" spans="1:21" ht="19" thickBot="1">
      <c r="A10" s="3"/>
      <c r="B10" s="3"/>
      <c r="C10" s="74">
        <v>1.5</v>
      </c>
      <c r="D10" s="69">
        <v>2.5000000000000001E-2</v>
      </c>
      <c r="E10" s="69">
        <f t="shared" si="0"/>
        <v>0.96319441772082182</v>
      </c>
      <c r="F10" s="70">
        <v>2</v>
      </c>
      <c r="G10" s="87">
        <f t="shared" si="1"/>
        <v>1.9263888354416436</v>
      </c>
      <c r="H10" s="88">
        <f t="shared" si="2"/>
        <v>2.8895832531624652</v>
      </c>
      <c r="I10" s="3"/>
      <c r="J10" s="3"/>
      <c r="K10" s="60">
        <v>3</v>
      </c>
      <c r="L10" s="75">
        <v>0.05</v>
      </c>
      <c r="M10" s="75">
        <f t="shared" ref="M10" si="4">EXP(-L10*K10)</f>
        <v>0.86070797642505781</v>
      </c>
      <c r="N10" s="93">
        <v>101.5</v>
      </c>
      <c r="O10" s="89">
        <f>N10*M10</f>
        <v>87.361859607143373</v>
      </c>
      <c r="P10" s="88">
        <f t="shared" si="3"/>
        <v>262.08557882143009</v>
      </c>
      <c r="Q10" s="3"/>
      <c r="R10" s="3"/>
      <c r="S10" s="3"/>
      <c r="T10" s="3"/>
      <c r="U10" s="3"/>
    </row>
    <row r="11" spans="1:21" ht="18">
      <c r="A11" s="3"/>
      <c r="B11" s="3"/>
      <c r="C11" s="74">
        <v>2</v>
      </c>
      <c r="D11" s="69">
        <v>2.5000000000000001E-2</v>
      </c>
      <c r="E11" s="69">
        <f t="shared" si="0"/>
        <v>0.95122942450071402</v>
      </c>
      <c r="F11" s="70">
        <v>2</v>
      </c>
      <c r="G11" s="87">
        <f t="shared" si="1"/>
        <v>1.902458849001428</v>
      </c>
      <c r="H11" s="88">
        <f t="shared" si="2"/>
        <v>3.8049176980028561</v>
      </c>
      <c r="I11" s="3"/>
      <c r="J11" s="3"/>
      <c r="K11" s="3"/>
      <c r="L11" s="3"/>
      <c r="M11" s="3"/>
      <c r="N11" s="3"/>
      <c r="O11" s="3"/>
      <c r="P11" s="3"/>
      <c r="Q11" s="3"/>
      <c r="R11" s="3"/>
      <c r="S11" s="3"/>
      <c r="T11" s="3"/>
      <c r="U11" s="3"/>
    </row>
    <row r="12" spans="1:21" ht="18">
      <c r="A12" s="3"/>
      <c r="B12" s="3"/>
      <c r="C12" s="74">
        <v>2.5</v>
      </c>
      <c r="D12" s="69">
        <v>2.5000000000000001E-2</v>
      </c>
      <c r="E12" s="69">
        <f t="shared" si="0"/>
        <v>0.93941306281347581</v>
      </c>
      <c r="F12" s="70">
        <v>2</v>
      </c>
      <c r="G12" s="87">
        <f t="shared" si="1"/>
        <v>1.8788261256269516</v>
      </c>
      <c r="H12" s="88">
        <f t="shared" si="2"/>
        <v>4.6970653140673786</v>
      </c>
      <c r="I12" s="3"/>
      <c r="J12" s="3"/>
      <c r="K12" s="3"/>
      <c r="L12" s="3"/>
      <c r="M12" s="128" t="s">
        <v>72</v>
      </c>
      <c r="N12" s="128"/>
      <c r="O12" s="91">
        <f>SUM(O8:O10)</f>
        <v>90.145959870948388</v>
      </c>
      <c r="P12" s="3"/>
      <c r="Q12" s="3"/>
      <c r="R12" s="3"/>
      <c r="S12" s="3"/>
      <c r="T12" s="3"/>
      <c r="U12" s="3"/>
    </row>
    <row r="13" spans="1:21" ht="18">
      <c r="A13" s="3"/>
      <c r="B13" s="3"/>
      <c r="C13" s="74">
        <v>3</v>
      </c>
      <c r="D13" s="69">
        <v>2.5000000000000001E-2</v>
      </c>
      <c r="E13" s="69">
        <f t="shared" si="0"/>
        <v>0.92774348632855286</v>
      </c>
      <c r="F13" s="70">
        <v>2</v>
      </c>
      <c r="G13" s="87">
        <f t="shared" si="1"/>
        <v>1.8554869726571057</v>
      </c>
      <c r="H13" s="88">
        <f t="shared" si="2"/>
        <v>5.5664609179713169</v>
      </c>
      <c r="I13" s="3"/>
      <c r="J13" s="3"/>
      <c r="K13" s="3"/>
      <c r="L13" s="3"/>
      <c r="M13" s="128" t="s">
        <v>73</v>
      </c>
      <c r="N13" s="128"/>
      <c r="O13" s="78">
        <f>SUM(P8:P10)/O12</f>
        <v>2.9532874861326626</v>
      </c>
      <c r="P13" s="3"/>
      <c r="Q13" s="3"/>
      <c r="R13" s="3"/>
      <c r="S13" s="3"/>
      <c r="T13" s="3"/>
      <c r="U13" s="3"/>
    </row>
    <row r="14" spans="1:21" ht="18">
      <c r="A14" s="3"/>
      <c r="B14" s="3"/>
      <c r="C14" s="74">
        <v>3.5</v>
      </c>
      <c r="D14" s="69">
        <v>2.5000000000000001E-2</v>
      </c>
      <c r="E14" s="69">
        <f t="shared" si="0"/>
        <v>0.91621887165087756</v>
      </c>
      <c r="F14" s="70">
        <v>2</v>
      </c>
      <c r="G14" s="87">
        <f t="shared" si="1"/>
        <v>1.8324377433017551</v>
      </c>
      <c r="H14" s="88">
        <f t="shared" si="2"/>
        <v>6.4135321015561431</v>
      </c>
      <c r="I14" s="3"/>
      <c r="J14" s="3"/>
      <c r="K14" s="3"/>
      <c r="L14" s="3"/>
      <c r="M14" s="3"/>
      <c r="N14" s="3"/>
      <c r="O14" s="3"/>
      <c r="P14" s="3"/>
      <c r="Q14" s="3"/>
      <c r="R14" s="3"/>
      <c r="S14" s="3"/>
      <c r="T14" s="3"/>
      <c r="U14" s="3"/>
    </row>
    <row r="15" spans="1:21" ht="18">
      <c r="A15" s="3"/>
      <c r="B15" s="3"/>
      <c r="C15" s="74">
        <v>4</v>
      </c>
      <c r="D15" s="69">
        <v>2.5000000000000001E-2</v>
      </c>
      <c r="E15" s="69">
        <f t="shared" si="0"/>
        <v>0.90483741803595952</v>
      </c>
      <c r="F15" s="70">
        <v>2</v>
      </c>
      <c r="G15" s="87">
        <f t="shared" si="1"/>
        <v>1.809674836071919</v>
      </c>
      <c r="H15" s="88">
        <f t="shared" si="2"/>
        <v>7.2386993442876761</v>
      </c>
      <c r="I15" s="3"/>
      <c r="J15" s="3"/>
      <c r="K15" s="3"/>
      <c r="L15" s="3"/>
      <c r="M15" s="3"/>
      <c r="N15" s="3"/>
      <c r="O15" s="3"/>
      <c r="P15" s="3"/>
      <c r="Q15" s="3"/>
      <c r="R15" s="3"/>
      <c r="S15" s="3"/>
      <c r="T15" s="3"/>
      <c r="U15" s="3"/>
    </row>
    <row r="16" spans="1:21" ht="18">
      <c r="A16" s="3"/>
      <c r="B16" s="3"/>
      <c r="C16" s="74">
        <v>4.5</v>
      </c>
      <c r="D16" s="69">
        <v>2.5000000000000001E-2</v>
      </c>
      <c r="E16" s="69">
        <f t="shared" si="0"/>
        <v>0.89359734710851568</v>
      </c>
      <c r="F16" s="70">
        <v>2</v>
      </c>
      <c r="G16" s="87">
        <f t="shared" si="1"/>
        <v>1.7871946942170314</v>
      </c>
      <c r="H16" s="88">
        <f t="shared" si="2"/>
        <v>8.0423761239766414</v>
      </c>
      <c r="I16" s="3"/>
      <c r="J16" s="3"/>
      <c r="K16" s="3"/>
      <c r="L16" s="3"/>
      <c r="M16" s="3"/>
      <c r="N16" s="3"/>
      <c r="O16" s="3"/>
      <c r="P16" s="3"/>
      <c r="Q16" s="3"/>
      <c r="R16" s="3"/>
      <c r="S16" s="3"/>
      <c r="T16" s="3"/>
      <c r="U16" s="3"/>
    </row>
    <row r="17" spans="1:21" ht="19" thickBot="1">
      <c r="A17" s="3"/>
      <c r="B17" s="3"/>
      <c r="C17" s="60">
        <v>5</v>
      </c>
      <c r="D17" s="75">
        <v>2.5000000000000001E-2</v>
      </c>
      <c r="E17" s="75">
        <f t="shared" si="0"/>
        <v>0.88249690258459546</v>
      </c>
      <c r="F17" s="76">
        <v>102</v>
      </c>
      <c r="G17" s="89">
        <f t="shared" si="1"/>
        <v>90.014684063628735</v>
      </c>
      <c r="H17" s="90">
        <f t="shared" si="2"/>
        <v>450.07342031814369</v>
      </c>
      <c r="I17" s="3"/>
      <c r="J17" s="3"/>
      <c r="K17" s="3"/>
      <c r="L17" s="3"/>
      <c r="M17" s="3"/>
      <c r="N17" s="3"/>
      <c r="O17" s="3"/>
      <c r="P17" s="3"/>
      <c r="Q17" s="3"/>
      <c r="R17" s="3"/>
      <c r="S17" s="3"/>
      <c r="T17" s="3"/>
      <c r="U17" s="3"/>
    </row>
    <row r="18" spans="1:21" ht="18">
      <c r="A18" s="3"/>
      <c r="B18" s="3"/>
      <c r="C18" s="3"/>
      <c r="D18" s="3"/>
      <c r="E18" s="3"/>
      <c r="F18" s="3"/>
      <c r="G18" s="3"/>
      <c r="H18" s="3"/>
      <c r="I18" s="3"/>
      <c r="J18" s="3"/>
      <c r="K18" s="3"/>
      <c r="L18" s="3"/>
      <c r="M18" s="3"/>
      <c r="N18" s="3"/>
      <c r="O18" s="3"/>
      <c r="P18" s="3"/>
      <c r="Q18" s="3"/>
      <c r="R18" s="3"/>
      <c r="S18" s="3"/>
      <c r="T18" s="3"/>
      <c r="U18" s="3"/>
    </row>
    <row r="19" spans="1:21" ht="18">
      <c r="A19" s="3"/>
      <c r="B19" s="3"/>
      <c r="C19" s="3"/>
      <c r="D19" s="3"/>
      <c r="E19" s="128" t="s">
        <v>69</v>
      </c>
      <c r="F19" s="128"/>
      <c r="G19" s="91">
        <f>SUM(G8:G17)</f>
        <v>106.932927544991</v>
      </c>
      <c r="H19" s="3"/>
      <c r="I19" s="3"/>
      <c r="J19" s="3"/>
      <c r="K19" s="3"/>
      <c r="L19" s="3"/>
      <c r="M19" s="3"/>
      <c r="N19" s="3"/>
      <c r="O19" s="3"/>
      <c r="P19" s="3"/>
      <c r="Q19" s="3"/>
      <c r="R19" s="3"/>
      <c r="S19" s="3"/>
      <c r="T19" s="3"/>
      <c r="U19" s="3"/>
    </row>
    <row r="20" spans="1:21" ht="18">
      <c r="A20" s="3"/>
      <c r="B20" s="3"/>
      <c r="C20" s="3"/>
      <c r="D20" s="3"/>
      <c r="E20" s="128" t="s">
        <v>70</v>
      </c>
      <c r="F20" s="128"/>
      <c r="G20" s="78">
        <f>SUM(H8:H17)/G19</f>
        <v>4.5978751726296441</v>
      </c>
      <c r="H20" s="3"/>
      <c r="I20" s="3"/>
      <c r="J20" s="3"/>
      <c r="K20" s="3"/>
      <c r="L20" s="3"/>
      <c r="M20" s="3"/>
      <c r="N20" s="3"/>
      <c r="O20" s="3"/>
      <c r="P20" s="3"/>
      <c r="Q20" s="3"/>
      <c r="R20" s="3"/>
      <c r="S20" s="3"/>
      <c r="T20" s="3"/>
      <c r="U20" s="3"/>
    </row>
    <row r="21" spans="1:21" ht="18">
      <c r="A21" s="3"/>
      <c r="B21" s="3"/>
      <c r="C21" s="3"/>
      <c r="D21" s="3"/>
      <c r="E21" s="3"/>
      <c r="F21" s="3"/>
      <c r="G21" s="3"/>
      <c r="H21" s="3"/>
      <c r="I21" s="3"/>
      <c r="J21" s="3"/>
      <c r="K21" s="3"/>
      <c r="L21" s="3"/>
      <c r="M21" s="3"/>
      <c r="N21" s="3"/>
      <c r="O21" s="3"/>
      <c r="P21" s="3"/>
      <c r="Q21" s="3"/>
      <c r="R21" s="3"/>
      <c r="S21" s="3"/>
      <c r="T21" s="3"/>
      <c r="U21" s="3"/>
    </row>
    <row r="22" spans="1:21" ht="18">
      <c r="A22" s="3"/>
      <c r="B22" s="4" t="s">
        <v>2</v>
      </c>
      <c r="C22" s="4" t="s">
        <v>74</v>
      </c>
      <c r="D22" s="55"/>
      <c r="E22" s="55"/>
      <c r="F22" s="55"/>
      <c r="G22" s="55"/>
      <c r="H22" s="55"/>
      <c r="I22" s="55"/>
      <c r="J22" s="55"/>
      <c r="K22" s="55"/>
      <c r="L22" s="55"/>
      <c r="M22" s="55"/>
      <c r="N22" s="14"/>
      <c r="O22" s="3"/>
      <c r="P22" s="3"/>
      <c r="Q22" s="3"/>
      <c r="R22" s="3"/>
      <c r="S22" s="3"/>
      <c r="T22" s="3"/>
      <c r="U22" s="3"/>
    </row>
    <row r="23" spans="1:21" ht="18">
      <c r="A23" s="3"/>
      <c r="B23" s="3"/>
      <c r="C23" s="4" t="s">
        <v>75</v>
      </c>
      <c r="D23" s="55"/>
      <c r="E23" s="55"/>
      <c r="F23" s="55"/>
      <c r="G23" s="55"/>
      <c r="H23" s="55"/>
      <c r="I23" s="55"/>
      <c r="J23" s="55"/>
      <c r="K23" s="55"/>
      <c r="L23" s="3"/>
      <c r="M23" s="3"/>
      <c r="N23" s="3"/>
      <c r="O23" s="3"/>
      <c r="P23" s="3"/>
      <c r="Q23" s="3"/>
      <c r="R23" s="3"/>
      <c r="S23" s="3"/>
      <c r="T23" s="3"/>
      <c r="U23" s="3"/>
    </row>
    <row r="24" spans="1:21" ht="18">
      <c r="A24" s="3"/>
      <c r="B24" s="3"/>
      <c r="C24" s="3"/>
      <c r="D24" s="3"/>
      <c r="E24" s="3"/>
      <c r="F24" s="3"/>
      <c r="G24" s="3"/>
      <c r="H24" s="3"/>
      <c r="I24" s="3"/>
      <c r="J24" s="3"/>
      <c r="K24" s="3"/>
      <c r="L24" s="3"/>
      <c r="M24" s="3"/>
      <c r="N24" s="3"/>
      <c r="O24" s="3"/>
      <c r="P24" s="3"/>
      <c r="Q24" s="3"/>
      <c r="R24" s="3"/>
      <c r="S24" s="3"/>
      <c r="T24" s="3"/>
      <c r="U24" s="3"/>
    </row>
    <row r="25" spans="1:21" ht="19" thickBot="1">
      <c r="A25" s="3"/>
      <c r="B25" s="3"/>
      <c r="C25" s="129" t="s">
        <v>78</v>
      </c>
      <c r="D25" s="129"/>
      <c r="E25" s="94">
        <v>100</v>
      </c>
      <c r="F25" s="3"/>
      <c r="G25" s="3"/>
      <c r="H25" s="3"/>
      <c r="I25" s="3"/>
      <c r="J25" s="3"/>
      <c r="K25" s="3"/>
      <c r="L25" s="3"/>
      <c r="M25" s="3"/>
      <c r="N25" s="3"/>
      <c r="O25" s="3"/>
      <c r="P25" s="3"/>
      <c r="Q25" s="3"/>
      <c r="R25" s="3"/>
      <c r="S25" s="3"/>
      <c r="T25" s="3"/>
      <c r="U25" s="3"/>
    </row>
    <row r="26" spans="1:21" ht="18">
      <c r="A26" s="3"/>
      <c r="B26" s="3"/>
      <c r="C26" s="96" t="s">
        <v>76</v>
      </c>
      <c r="D26" s="97" t="s">
        <v>77</v>
      </c>
      <c r="E26" s="8" t="s">
        <v>94</v>
      </c>
      <c r="F26" s="8" t="s">
        <v>95</v>
      </c>
      <c r="G26" s="132" t="s">
        <v>153</v>
      </c>
      <c r="H26" s="133" t="s">
        <v>154</v>
      </c>
      <c r="I26" s="3"/>
      <c r="J26" s="3"/>
      <c r="K26" s="3"/>
      <c r="L26" s="3"/>
      <c r="M26" s="3"/>
      <c r="N26" s="3"/>
      <c r="O26" s="3"/>
      <c r="P26" s="3"/>
      <c r="Q26" s="3"/>
      <c r="R26" s="3"/>
      <c r="S26" s="3"/>
      <c r="T26" s="3"/>
      <c r="U26" s="3"/>
    </row>
    <row r="27" spans="1:21" ht="18">
      <c r="A27" s="3"/>
      <c r="B27" s="3"/>
      <c r="C27" s="10">
        <v>0</v>
      </c>
      <c r="D27" s="11">
        <f>1-C27</f>
        <v>1</v>
      </c>
      <c r="E27" s="130">
        <f>$E$25*C27</f>
        <v>0</v>
      </c>
      <c r="F27" s="130">
        <f>$E$25*D27</f>
        <v>100</v>
      </c>
      <c r="G27" s="134">
        <f>E27/$G$19*100</f>
        <v>0</v>
      </c>
      <c r="H27" s="135">
        <f>F27/$O$12*100</f>
        <v>110.93120550622402</v>
      </c>
      <c r="I27" s="3"/>
      <c r="J27" s="3"/>
      <c r="K27" s="3"/>
      <c r="L27" s="3"/>
      <c r="M27" s="3"/>
      <c r="N27" s="3"/>
      <c r="O27" s="3"/>
      <c r="P27" s="3"/>
      <c r="Q27" s="3"/>
      <c r="R27" s="3"/>
      <c r="S27" s="3"/>
      <c r="T27" s="3"/>
      <c r="U27" s="3"/>
    </row>
    <row r="28" spans="1:21" ht="18">
      <c r="A28" s="3"/>
      <c r="B28" s="3"/>
      <c r="C28" s="10">
        <f>C27+0.025</f>
        <v>2.5000000000000001E-2</v>
      </c>
      <c r="D28" s="11">
        <f t="shared" ref="D28:D67" si="5">1-C28</f>
        <v>0.97499999999999998</v>
      </c>
      <c r="E28" s="130">
        <f t="shared" ref="E28:E67" si="6">$E$25*C28</f>
        <v>2.5</v>
      </c>
      <c r="F28" s="130">
        <f t="shared" ref="F28:F67" si="7">$E$25*D28</f>
        <v>97.5</v>
      </c>
      <c r="G28" s="134">
        <f t="shared" ref="G28:G67" si="8">E28/$G$19*100</f>
        <v>2.3379141087745392</v>
      </c>
      <c r="H28" s="135">
        <f t="shared" ref="H28:H67" si="9">F28/$O$12*100</f>
        <v>108.15792536856843</v>
      </c>
      <c r="I28" s="3"/>
      <c r="J28" s="3"/>
      <c r="K28" s="3"/>
      <c r="L28" s="3"/>
      <c r="M28" s="3"/>
      <c r="N28" s="3"/>
      <c r="O28" s="3"/>
      <c r="P28" s="3"/>
      <c r="Q28" s="3"/>
      <c r="R28" s="3"/>
      <c r="S28" s="3"/>
      <c r="T28" s="3"/>
      <c r="U28" s="3"/>
    </row>
    <row r="29" spans="1:21" ht="18">
      <c r="A29" s="3"/>
      <c r="B29" s="3"/>
      <c r="C29" s="10">
        <f t="shared" ref="C29:C66" si="10">C28+0.025</f>
        <v>0.05</v>
      </c>
      <c r="D29" s="11">
        <f t="shared" si="5"/>
        <v>0.95</v>
      </c>
      <c r="E29" s="130">
        <f t="shared" si="6"/>
        <v>5</v>
      </c>
      <c r="F29" s="130">
        <f t="shared" si="7"/>
        <v>95</v>
      </c>
      <c r="G29" s="134">
        <f t="shared" si="8"/>
        <v>4.6758282175490784</v>
      </c>
      <c r="H29" s="135">
        <f t="shared" si="9"/>
        <v>105.38464523091282</v>
      </c>
      <c r="I29" s="3"/>
      <c r="J29" s="3"/>
      <c r="K29" s="3"/>
      <c r="L29" s="3"/>
      <c r="M29" s="3"/>
      <c r="N29" s="3"/>
      <c r="O29" s="3"/>
      <c r="P29" s="3"/>
      <c r="Q29" s="3"/>
      <c r="R29" s="3"/>
      <c r="S29" s="3"/>
      <c r="T29" s="3"/>
      <c r="U29" s="3"/>
    </row>
    <row r="30" spans="1:21" ht="18">
      <c r="A30" s="3"/>
      <c r="B30" s="3"/>
      <c r="C30" s="10">
        <f t="shared" si="10"/>
        <v>7.5000000000000011E-2</v>
      </c>
      <c r="D30" s="11">
        <f t="shared" si="5"/>
        <v>0.92500000000000004</v>
      </c>
      <c r="E30" s="130">
        <f t="shared" si="6"/>
        <v>7.5000000000000009</v>
      </c>
      <c r="F30" s="130">
        <f t="shared" si="7"/>
        <v>92.5</v>
      </c>
      <c r="G30" s="134">
        <f t="shared" si="8"/>
        <v>7.0137423263236185</v>
      </c>
      <c r="H30" s="135">
        <f t="shared" si="9"/>
        <v>102.61136509325723</v>
      </c>
      <c r="I30" s="3"/>
      <c r="J30" s="3"/>
      <c r="K30" s="3"/>
      <c r="L30" s="3"/>
      <c r="M30" s="3"/>
      <c r="N30" s="3"/>
      <c r="O30" s="3"/>
      <c r="P30" s="3"/>
      <c r="Q30" s="3"/>
      <c r="R30" s="3"/>
      <c r="S30" s="3"/>
      <c r="T30" s="3"/>
      <c r="U30" s="3"/>
    </row>
    <row r="31" spans="1:21" ht="18">
      <c r="A31" s="3"/>
      <c r="B31" s="3"/>
      <c r="C31" s="10">
        <f t="shared" si="10"/>
        <v>0.1</v>
      </c>
      <c r="D31" s="11">
        <f t="shared" si="5"/>
        <v>0.9</v>
      </c>
      <c r="E31" s="130">
        <f t="shared" si="6"/>
        <v>10</v>
      </c>
      <c r="F31" s="130">
        <f t="shared" si="7"/>
        <v>90</v>
      </c>
      <c r="G31" s="134">
        <f>E31/$G$19*100</f>
        <v>9.3516564350981568</v>
      </c>
      <c r="H31" s="135">
        <f t="shared" si="9"/>
        <v>99.83808495560163</v>
      </c>
      <c r="I31" s="3"/>
      <c r="J31" s="3"/>
      <c r="K31" s="3"/>
      <c r="L31" s="3"/>
      <c r="M31" s="3"/>
      <c r="N31" s="3"/>
      <c r="O31" s="3"/>
      <c r="P31" s="3"/>
      <c r="Q31" s="3"/>
      <c r="R31" s="3"/>
      <c r="S31" s="3"/>
      <c r="T31" s="3"/>
      <c r="U31" s="3"/>
    </row>
    <row r="32" spans="1:21" ht="18">
      <c r="A32" s="3"/>
      <c r="B32" s="3"/>
      <c r="C32" s="10">
        <f t="shared" si="10"/>
        <v>0.125</v>
      </c>
      <c r="D32" s="11">
        <f t="shared" si="5"/>
        <v>0.875</v>
      </c>
      <c r="E32" s="130">
        <f t="shared" si="6"/>
        <v>12.5</v>
      </c>
      <c r="F32" s="130">
        <f t="shared" si="7"/>
        <v>87.5</v>
      </c>
      <c r="G32" s="134">
        <f t="shared" si="8"/>
        <v>11.689570543872696</v>
      </c>
      <c r="H32" s="135">
        <f t="shared" si="9"/>
        <v>97.064804817946026</v>
      </c>
      <c r="I32" s="3"/>
      <c r="J32" s="3"/>
      <c r="K32" s="3"/>
      <c r="L32" s="3"/>
      <c r="M32" s="3"/>
      <c r="N32" s="3"/>
      <c r="O32" s="3"/>
      <c r="P32" s="3"/>
      <c r="Q32" s="3"/>
      <c r="R32" s="3"/>
      <c r="S32" s="3"/>
      <c r="T32" s="3"/>
      <c r="U32" s="3"/>
    </row>
    <row r="33" spans="1:21" ht="18">
      <c r="A33" s="3"/>
      <c r="B33" s="3"/>
      <c r="C33" s="10">
        <f t="shared" si="10"/>
        <v>0.15</v>
      </c>
      <c r="D33" s="11">
        <f t="shared" si="5"/>
        <v>0.85</v>
      </c>
      <c r="E33" s="130">
        <f t="shared" si="6"/>
        <v>15</v>
      </c>
      <c r="F33" s="130">
        <f t="shared" si="7"/>
        <v>85</v>
      </c>
      <c r="G33" s="134">
        <f t="shared" si="8"/>
        <v>14.027484652647235</v>
      </c>
      <c r="H33" s="135">
        <f t="shared" si="9"/>
        <v>94.291524680290422</v>
      </c>
      <c r="I33" s="3"/>
      <c r="J33" s="3"/>
      <c r="K33" s="3"/>
      <c r="L33" s="3"/>
      <c r="M33" s="3"/>
      <c r="N33" s="3"/>
      <c r="O33" s="3"/>
      <c r="P33" s="3"/>
      <c r="Q33" s="3"/>
      <c r="R33" s="3"/>
      <c r="S33" s="3"/>
      <c r="T33" s="3"/>
      <c r="U33" s="3"/>
    </row>
    <row r="34" spans="1:21" ht="18">
      <c r="A34" s="3"/>
      <c r="B34" s="3"/>
      <c r="C34" s="10">
        <f t="shared" si="10"/>
        <v>0.17499999999999999</v>
      </c>
      <c r="D34" s="11">
        <f t="shared" si="5"/>
        <v>0.82499999999999996</v>
      </c>
      <c r="E34" s="130">
        <f t="shared" si="6"/>
        <v>17.5</v>
      </c>
      <c r="F34" s="130">
        <f t="shared" si="7"/>
        <v>82.5</v>
      </c>
      <c r="G34" s="134">
        <f t="shared" si="8"/>
        <v>16.365398761421773</v>
      </c>
      <c r="H34" s="135">
        <f t="shared" si="9"/>
        <v>91.518244542634818</v>
      </c>
      <c r="I34" s="3"/>
      <c r="J34" s="3"/>
      <c r="K34" s="3"/>
      <c r="L34" s="3"/>
      <c r="M34" s="3"/>
      <c r="N34" s="3"/>
      <c r="O34" s="3"/>
      <c r="P34" s="3"/>
      <c r="Q34" s="3"/>
      <c r="R34" s="3"/>
      <c r="S34" s="3"/>
      <c r="T34" s="3"/>
      <c r="U34" s="3"/>
    </row>
    <row r="35" spans="1:21" ht="18">
      <c r="A35" s="3"/>
      <c r="B35" s="3"/>
      <c r="C35" s="10">
        <f t="shared" si="10"/>
        <v>0.19999999999999998</v>
      </c>
      <c r="D35" s="11">
        <f t="shared" si="5"/>
        <v>0.8</v>
      </c>
      <c r="E35" s="130">
        <f t="shared" si="6"/>
        <v>20</v>
      </c>
      <c r="F35" s="130">
        <f t="shared" si="7"/>
        <v>80</v>
      </c>
      <c r="G35" s="134">
        <f t="shared" si="8"/>
        <v>18.703312870196314</v>
      </c>
      <c r="H35" s="135">
        <f t="shared" si="9"/>
        <v>88.744964404979214</v>
      </c>
      <c r="I35" s="3"/>
      <c r="J35" s="3"/>
      <c r="K35" s="3"/>
      <c r="L35" s="3"/>
      <c r="M35" s="3"/>
      <c r="N35" s="3"/>
      <c r="O35" s="3"/>
      <c r="P35" s="3"/>
      <c r="Q35" s="3"/>
      <c r="R35" s="3"/>
      <c r="S35" s="3"/>
      <c r="T35" s="3"/>
      <c r="U35" s="3"/>
    </row>
    <row r="36" spans="1:21" ht="18">
      <c r="A36" s="3"/>
      <c r="B36" s="3"/>
      <c r="C36" s="10">
        <f t="shared" si="10"/>
        <v>0.22499999999999998</v>
      </c>
      <c r="D36" s="11">
        <f t="shared" si="5"/>
        <v>0.77500000000000002</v>
      </c>
      <c r="E36" s="130">
        <f t="shared" si="6"/>
        <v>22.499999999999996</v>
      </c>
      <c r="F36" s="130">
        <f t="shared" si="7"/>
        <v>77.5</v>
      </c>
      <c r="G36" s="134">
        <f t="shared" si="8"/>
        <v>21.041226978970847</v>
      </c>
      <c r="H36" s="135">
        <f t="shared" si="9"/>
        <v>85.971684267323624</v>
      </c>
      <c r="I36" s="3"/>
      <c r="J36" s="3"/>
      <c r="K36" s="3"/>
      <c r="L36" s="3"/>
      <c r="M36" s="3"/>
      <c r="N36" s="3"/>
      <c r="O36" s="3"/>
      <c r="P36" s="3"/>
      <c r="Q36" s="3"/>
      <c r="R36" s="3"/>
      <c r="S36" s="3"/>
      <c r="T36" s="3"/>
      <c r="U36" s="3"/>
    </row>
    <row r="37" spans="1:21" ht="18">
      <c r="A37" s="3"/>
      <c r="B37" s="3"/>
      <c r="C37" s="10">
        <f t="shared" si="10"/>
        <v>0.24999999999999997</v>
      </c>
      <c r="D37" s="11">
        <f t="shared" si="5"/>
        <v>0.75</v>
      </c>
      <c r="E37" s="130">
        <f t="shared" si="6"/>
        <v>24.999999999999996</v>
      </c>
      <c r="F37" s="130">
        <f t="shared" si="7"/>
        <v>75</v>
      </c>
      <c r="G37" s="134">
        <f t="shared" si="8"/>
        <v>23.379141087745385</v>
      </c>
      <c r="H37" s="135">
        <f t="shared" si="9"/>
        <v>83.19840412966802</v>
      </c>
      <c r="I37" s="3"/>
      <c r="J37" s="3"/>
      <c r="K37" s="3"/>
      <c r="L37" s="3"/>
      <c r="M37" s="3"/>
      <c r="N37" s="3"/>
      <c r="O37" s="3"/>
      <c r="P37" s="3"/>
      <c r="Q37" s="3"/>
      <c r="R37" s="3"/>
      <c r="S37" s="3"/>
      <c r="T37" s="3"/>
      <c r="U37" s="3"/>
    </row>
    <row r="38" spans="1:21" ht="18">
      <c r="A38" s="3"/>
      <c r="B38" s="3"/>
      <c r="C38" s="10">
        <f t="shared" si="10"/>
        <v>0.27499999999999997</v>
      </c>
      <c r="D38" s="11">
        <f t="shared" si="5"/>
        <v>0.72500000000000009</v>
      </c>
      <c r="E38" s="130">
        <f t="shared" si="6"/>
        <v>27.499999999999996</v>
      </c>
      <c r="F38" s="130">
        <f t="shared" si="7"/>
        <v>72.500000000000014</v>
      </c>
      <c r="G38" s="134">
        <f t="shared" si="8"/>
        <v>25.717055196519929</v>
      </c>
      <c r="H38" s="135">
        <f t="shared" si="9"/>
        <v>80.425123992012431</v>
      </c>
      <c r="I38" s="3"/>
      <c r="J38" s="3"/>
      <c r="K38" s="3"/>
      <c r="L38" s="3"/>
      <c r="M38" s="3"/>
      <c r="N38" s="3"/>
      <c r="O38" s="3"/>
      <c r="P38" s="3"/>
      <c r="Q38" s="3"/>
      <c r="R38" s="3"/>
      <c r="S38" s="3"/>
      <c r="T38" s="3"/>
      <c r="U38" s="3"/>
    </row>
    <row r="39" spans="1:21" ht="18">
      <c r="A39" s="3"/>
      <c r="B39" s="3"/>
      <c r="C39" s="10">
        <f t="shared" si="10"/>
        <v>0.3</v>
      </c>
      <c r="D39" s="11">
        <f t="shared" si="5"/>
        <v>0.7</v>
      </c>
      <c r="E39" s="130">
        <f t="shared" si="6"/>
        <v>30</v>
      </c>
      <c r="F39" s="130">
        <f t="shared" si="7"/>
        <v>70</v>
      </c>
      <c r="G39" s="134">
        <f t="shared" si="8"/>
        <v>28.05496930529447</v>
      </c>
      <c r="H39" s="135">
        <f t="shared" si="9"/>
        <v>77.651843854356812</v>
      </c>
      <c r="I39" s="3"/>
      <c r="J39" s="3"/>
      <c r="K39" s="3"/>
      <c r="L39" s="3"/>
      <c r="M39" s="3"/>
      <c r="N39" s="3"/>
      <c r="O39" s="3"/>
      <c r="P39" s="3"/>
      <c r="Q39" s="3"/>
      <c r="R39" s="3"/>
      <c r="S39" s="3"/>
      <c r="T39" s="3"/>
      <c r="U39" s="3"/>
    </row>
    <row r="40" spans="1:21" ht="18">
      <c r="A40" s="3"/>
      <c r="B40" s="3"/>
      <c r="C40" s="10">
        <f t="shared" si="10"/>
        <v>0.32500000000000001</v>
      </c>
      <c r="D40" s="11">
        <f t="shared" si="5"/>
        <v>0.67500000000000004</v>
      </c>
      <c r="E40" s="130">
        <f t="shared" si="6"/>
        <v>32.5</v>
      </c>
      <c r="F40" s="130">
        <f t="shared" si="7"/>
        <v>67.5</v>
      </c>
      <c r="G40" s="134">
        <f t="shared" si="8"/>
        <v>30.392883414069004</v>
      </c>
      <c r="H40" s="135">
        <f t="shared" si="9"/>
        <v>74.878563716701223</v>
      </c>
      <c r="I40" s="3"/>
      <c r="J40" s="3"/>
      <c r="K40" s="3"/>
      <c r="L40" s="3"/>
      <c r="M40" s="3"/>
      <c r="N40" s="3"/>
      <c r="O40" s="3"/>
      <c r="P40" s="3"/>
      <c r="Q40" s="3"/>
      <c r="R40" s="3"/>
      <c r="S40" s="3"/>
      <c r="T40" s="3"/>
      <c r="U40" s="3"/>
    </row>
    <row r="41" spans="1:21" ht="18">
      <c r="A41" s="3"/>
      <c r="B41" s="3"/>
      <c r="C41" s="10">
        <f t="shared" si="10"/>
        <v>0.35000000000000003</v>
      </c>
      <c r="D41" s="11">
        <f t="shared" si="5"/>
        <v>0.64999999999999991</v>
      </c>
      <c r="E41" s="130">
        <f t="shared" si="6"/>
        <v>35</v>
      </c>
      <c r="F41" s="130">
        <f t="shared" si="7"/>
        <v>64.999999999999986</v>
      </c>
      <c r="G41" s="134">
        <f t="shared" si="8"/>
        <v>32.730797522843545</v>
      </c>
      <c r="H41" s="135">
        <f t="shared" si="9"/>
        <v>72.105283579045604</v>
      </c>
      <c r="I41" s="3"/>
      <c r="J41" s="3"/>
      <c r="K41" s="3"/>
      <c r="L41" s="3"/>
      <c r="M41" s="3"/>
      <c r="N41" s="3"/>
      <c r="O41" s="3"/>
      <c r="P41" s="3"/>
      <c r="Q41" s="3"/>
      <c r="R41" s="3"/>
      <c r="S41" s="3"/>
      <c r="T41" s="3"/>
      <c r="U41" s="3"/>
    </row>
    <row r="42" spans="1:21" ht="18">
      <c r="A42" s="3"/>
      <c r="B42" s="3"/>
      <c r="C42" s="10">
        <f t="shared" si="10"/>
        <v>0.37500000000000006</v>
      </c>
      <c r="D42" s="11">
        <f t="shared" si="5"/>
        <v>0.625</v>
      </c>
      <c r="E42" s="130">
        <f t="shared" si="6"/>
        <v>37.500000000000007</v>
      </c>
      <c r="F42" s="130">
        <f t="shared" si="7"/>
        <v>62.5</v>
      </c>
      <c r="G42" s="134">
        <f t="shared" si="8"/>
        <v>35.068711631618093</v>
      </c>
      <c r="H42" s="135">
        <f t="shared" si="9"/>
        <v>69.332003441390015</v>
      </c>
      <c r="I42" s="3"/>
      <c r="J42" s="3"/>
      <c r="K42" s="3"/>
      <c r="L42" s="3"/>
      <c r="M42" s="3"/>
      <c r="N42" s="3"/>
      <c r="O42" s="3"/>
      <c r="P42" s="3"/>
      <c r="Q42" s="3"/>
      <c r="R42" s="3"/>
      <c r="S42" s="3"/>
      <c r="T42" s="3"/>
      <c r="U42" s="3"/>
    </row>
    <row r="43" spans="1:21" ht="18">
      <c r="A43" s="3"/>
      <c r="B43" s="3"/>
      <c r="C43" s="10">
        <f t="shared" si="10"/>
        <v>0.40000000000000008</v>
      </c>
      <c r="D43" s="11">
        <f t="shared" si="5"/>
        <v>0.59999999999999987</v>
      </c>
      <c r="E43" s="130">
        <f t="shared" si="6"/>
        <v>40.000000000000007</v>
      </c>
      <c r="F43" s="130">
        <f t="shared" si="7"/>
        <v>59.999999999999986</v>
      </c>
      <c r="G43" s="134">
        <f t="shared" si="8"/>
        <v>37.406625740392627</v>
      </c>
      <c r="H43" s="135">
        <f t="shared" si="9"/>
        <v>66.558723303734396</v>
      </c>
      <c r="I43" s="3"/>
      <c r="J43" s="3"/>
      <c r="K43" s="3"/>
      <c r="L43" s="3"/>
      <c r="M43" s="3"/>
      <c r="N43" s="3"/>
      <c r="O43" s="3"/>
      <c r="P43" s="3"/>
      <c r="Q43" s="3"/>
      <c r="R43" s="3"/>
      <c r="S43" s="3"/>
      <c r="T43" s="3"/>
      <c r="U43" s="3"/>
    </row>
    <row r="44" spans="1:21" ht="18">
      <c r="A44" s="3"/>
      <c r="B44" s="3"/>
      <c r="C44" s="10">
        <f t="shared" si="10"/>
        <v>0.4250000000000001</v>
      </c>
      <c r="D44" s="11">
        <f t="shared" si="5"/>
        <v>0.57499999999999996</v>
      </c>
      <c r="E44" s="130">
        <f t="shared" si="6"/>
        <v>42.500000000000007</v>
      </c>
      <c r="F44" s="130">
        <f t="shared" si="7"/>
        <v>57.499999999999993</v>
      </c>
      <c r="G44" s="134">
        <f t="shared" si="8"/>
        <v>39.744539849167168</v>
      </c>
      <c r="H44" s="135">
        <f t="shared" si="9"/>
        <v>63.785443166078807</v>
      </c>
      <c r="I44" s="3"/>
      <c r="J44" s="3"/>
      <c r="K44" s="3"/>
      <c r="L44" s="3"/>
      <c r="M44" s="3"/>
      <c r="N44" s="3"/>
      <c r="O44" s="3"/>
      <c r="P44" s="3"/>
      <c r="Q44" s="3"/>
      <c r="R44" s="3"/>
      <c r="S44" s="3"/>
      <c r="T44" s="3"/>
      <c r="U44" s="3"/>
    </row>
    <row r="45" spans="1:21" ht="18">
      <c r="A45" s="3"/>
      <c r="B45" s="3"/>
      <c r="C45" s="10">
        <f t="shared" si="10"/>
        <v>0.45000000000000012</v>
      </c>
      <c r="D45" s="11">
        <f t="shared" si="5"/>
        <v>0.54999999999999982</v>
      </c>
      <c r="E45" s="130">
        <f t="shared" si="6"/>
        <v>45.000000000000014</v>
      </c>
      <c r="F45" s="130">
        <f t="shared" si="7"/>
        <v>54.999999999999986</v>
      </c>
      <c r="G45" s="134">
        <f t="shared" si="8"/>
        <v>42.082453957941716</v>
      </c>
      <c r="H45" s="135">
        <f t="shared" si="9"/>
        <v>61.012163028423195</v>
      </c>
      <c r="I45" s="3"/>
      <c r="J45" s="3"/>
      <c r="K45" s="3"/>
      <c r="L45" s="3"/>
      <c r="M45" s="3"/>
      <c r="N45" s="3"/>
      <c r="O45" s="3"/>
      <c r="P45" s="3"/>
      <c r="Q45" s="3"/>
      <c r="R45" s="3"/>
      <c r="S45" s="3"/>
      <c r="T45" s="3"/>
      <c r="U45" s="3"/>
    </row>
    <row r="46" spans="1:21" ht="18">
      <c r="A46" s="3"/>
      <c r="B46" s="3"/>
      <c r="C46" s="10">
        <f t="shared" si="10"/>
        <v>0.47500000000000014</v>
      </c>
      <c r="D46" s="11">
        <f t="shared" si="5"/>
        <v>0.52499999999999991</v>
      </c>
      <c r="E46" s="130">
        <f t="shared" si="6"/>
        <v>47.500000000000014</v>
      </c>
      <c r="F46" s="130">
        <f t="shared" si="7"/>
        <v>52.499999999999993</v>
      </c>
      <c r="G46" s="134">
        <f t="shared" si="8"/>
        <v>44.42036806671625</v>
      </c>
      <c r="H46" s="135">
        <f t="shared" si="9"/>
        <v>58.238882890767606</v>
      </c>
      <c r="I46" s="3"/>
      <c r="J46" s="3"/>
      <c r="K46" s="3"/>
      <c r="L46" s="3"/>
      <c r="M46" s="3"/>
      <c r="N46" s="3"/>
      <c r="O46" s="3"/>
      <c r="P46" s="3"/>
      <c r="Q46" s="3"/>
      <c r="R46" s="3"/>
      <c r="S46" s="3"/>
      <c r="T46" s="3"/>
      <c r="U46" s="3"/>
    </row>
    <row r="47" spans="1:21" ht="18">
      <c r="A47" s="3"/>
      <c r="B47" s="3"/>
      <c r="C47" s="10">
        <f t="shared" si="10"/>
        <v>0.50000000000000011</v>
      </c>
      <c r="D47" s="11">
        <f t="shared" si="5"/>
        <v>0.49999999999999989</v>
      </c>
      <c r="E47" s="130">
        <f t="shared" si="6"/>
        <v>50.000000000000014</v>
      </c>
      <c r="F47" s="130">
        <f t="shared" si="7"/>
        <v>49.999999999999986</v>
      </c>
      <c r="G47" s="134">
        <f t="shared" si="8"/>
        <v>46.758282175490798</v>
      </c>
      <c r="H47" s="135">
        <f t="shared" si="9"/>
        <v>55.465602753111995</v>
      </c>
      <c r="I47" s="3"/>
      <c r="J47" s="3"/>
      <c r="K47" s="3"/>
      <c r="L47" s="3"/>
      <c r="M47" s="3"/>
      <c r="N47" s="3"/>
      <c r="O47" s="3"/>
      <c r="P47" s="3"/>
      <c r="Q47" s="3"/>
      <c r="R47" s="3"/>
      <c r="S47" s="3"/>
      <c r="T47" s="3"/>
      <c r="U47" s="3"/>
    </row>
    <row r="48" spans="1:21" ht="18">
      <c r="A48" s="3"/>
      <c r="B48" s="3"/>
      <c r="C48" s="10">
        <f t="shared" si="10"/>
        <v>0.52500000000000013</v>
      </c>
      <c r="D48" s="11">
        <f t="shared" si="5"/>
        <v>0.47499999999999987</v>
      </c>
      <c r="E48" s="130">
        <f t="shared" si="6"/>
        <v>52.500000000000014</v>
      </c>
      <c r="F48" s="130">
        <f t="shared" si="7"/>
        <v>47.499999999999986</v>
      </c>
      <c r="G48" s="134">
        <f t="shared" si="8"/>
        <v>49.096196284265332</v>
      </c>
      <c r="H48" s="135">
        <f t="shared" si="9"/>
        <v>52.692322615456398</v>
      </c>
      <c r="I48" s="3"/>
      <c r="J48" s="3"/>
      <c r="K48" s="3"/>
      <c r="L48" s="3"/>
      <c r="M48" s="3"/>
      <c r="N48" s="3"/>
      <c r="O48" s="3"/>
      <c r="P48" s="3"/>
      <c r="Q48" s="3"/>
      <c r="R48" s="3"/>
      <c r="S48" s="3"/>
      <c r="T48" s="3"/>
      <c r="U48" s="3"/>
    </row>
    <row r="49" spans="1:21" ht="18">
      <c r="A49" s="3"/>
      <c r="B49" s="3"/>
      <c r="C49" s="10">
        <f t="shared" si="10"/>
        <v>0.55000000000000016</v>
      </c>
      <c r="D49" s="11">
        <f t="shared" si="5"/>
        <v>0.44999999999999984</v>
      </c>
      <c r="E49" s="130">
        <f t="shared" si="6"/>
        <v>55.000000000000014</v>
      </c>
      <c r="F49" s="130">
        <f t="shared" si="7"/>
        <v>44.999999999999986</v>
      </c>
      <c r="G49" s="134">
        <f t="shared" si="8"/>
        <v>51.43411039303988</v>
      </c>
      <c r="H49" s="135">
        <f t="shared" si="9"/>
        <v>49.919042477800794</v>
      </c>
      <c r="I49" s="3"/>
      <c r="J49" s="3"/>
      <c r="K49" s="3"/>
      <c r="L49" s="3"/>
      <c r="M49" s="3"/>
      <c r="N49" s="3"/>
      <c r="O49" s="3"/>
      <c r="P49" s="3"/>
      <c r="Q49" s="3"/>
      <c r="R49" s="3"/>
      <c r="S49" s="3"/>
      <c r="T49" s="3"/>
      <c r="U49" s="3"/>
    </row>
    <row r="50" spans="1:21" ht="18">
      <c r="A50" s="3"/>
      <c r="B50" s="3"/>
      <c r="C50" s="10">
        <f>C49+0.025</f>
        <v>0.57500000000000018</v>
      </c>
      <c r="D50" s="11">
        <f t="shared" si="5"/>
        <v>0.42499999999999982</v>
      </c>
      <c r="E50" s="130">
        <f t="shared" si="6"/>
        <v>57.500000000000014</v>
      </c>
      <c r="F50" s="130">
        <f t="shared" si="7"/>
        <v>42.499999999999986</v>
      </c>
      <c r="G50" s="134">
        <f t="shared" si="8"/>
        <v>53.772024501814407</v>
      </c>
      <c r="H50" s="135">
        <f t="shared" si="9"/>
        <v>47.145762340145197</v>
      </c>
      <c r="I50" s="3"/>
      <c r="J50" s="3"/>
      <c r="K50" s="3"/>
      <c r="L50" s="3"/>
      <c r="M50" s="3"/>
      <c r="N50" s="3"/>
      <c r="O50" s="3"/>
      <c r="P50" s="3"/>
      <c r="Q50" s="3"/>
      <c r="R50" s="3"/>
      <c r="S50" s="3"/>
      <c r="T50" s="3"/>
      <c r="U50" s="3"/>
    </row>
    <row r="51" spans="1:21" ht="18">
      <c r="A51" s="3"/>
      <c r="B51" s="3"/>
      <c r="C51" s="10">
        <f t="shared" si="10"/>
        <v>0.6000000000000002</v>
      </c>
      <c r="D51" s="11">
        <f t="shared" si="5"/>
        <v>0.3999999999999998</v>
      </c>
      <c r="E51" s="130">
        <f t="shared" si="6"/>
        <v>60.000000000000021</v>
      </c>
      <c r="F51" s="130">
        <f t="shared" si="7"/>
        <v>39.999999999999979</v>
      </c>
      <c r="G51" s="134">
        <f t="shared" si="8"/>
        <v>56.109938610588962</v>
      </c>
      <c r="H51" s="135">
        <f t="shared" si="9"/>
        <v>44.372482202489586</v>
      </c>
      <c r="I51" s="3"/>
      <c r="J51" s="3"/>
      <c r="K51" s="3"/>
      <c r="L51" s="3"/>
      <c r="M51" s="3"/>
      <c r="N51" s="3"/>
      <c r="O51" s="3"/>
      <c r="P51" s="3"/>
      <c r="Q51" s="3"/>
      <c r="R51" s="3"/>
      <c r="S51" s="3"/>
      <c r="T51" s="3"/>
      <c r="U51" s="3"/>
    </row>
    <row r="52" spans="1:21" ht="18">
      <c r="A52" s="3"/>
      <c r="B52" s="3"/>
      <c r="C52" s="10">
        <f t="shared" si="10"/>
        <v>0.62500000000000022</v>
      </c>
      <c r="D52" s="11">
        <f t="shared" si="5"/>
        <v>0.37499999999999978</v>
      </c>
      <c r="E52" s="130">
        <f t="shared" si="6"/>
        <v>62.500000000000021</v>
      </c>
      <c r="F52" s="130">
        <f t="shared" si="7"/>
        <v>37.499999999999979</v>
      </c>
      <c r="G52" s="134">
        <f t="shared" si="8"/>
        <v>58.447852719363489</v>
      </c>
      <c r="H52" s="135">
        <f t="shared" si="9"/>
        <v>41.599202064833982</v>
      </c>
      <c r="I52" s="3"/>
      <c r="J52" s="3"/>
      <c r="K52" s="3"/>
      <c r="L52" s="3"/>
      <c r="M52" s="3"/>
      <c r="N52" s="3"/>
      <c r="O52" s="3"/>
      <c r="P52" s="3"/>
      <c r="Q52" s="3"/>
      <c r="R52" s="3"/>
      <c r="S52" s="3"/>
      <c r="T52" s="3"/>
      <c r="U52" s="3"/>
    </row>
    <row r="53" spans="1:21" ht="18">
      <c r="A53" s="3"/>
      <c r="B53" s="3"/>
      <c r="C53" s="10">
        <f t="shared" si="10"/>
        <v>0.65000000000000024</v>
      </c>
      <c r="D53" s="11">
        <f t="shared" si="5"/>
        <v>0.34999999999999976</v>
      </c>
      <c r="E53" s="130">
        <f t="shared" si="6"/>
        <v>65.000000000000028</v>
      </c>
      <c r="F53" s="130">
        <f t="shared" si="7"/>
        <v>34.999999999999979</v>
      </c>
      <c r="G53" s="134">
        <f t="shared" si="8"/>
        <v>60.785766828138044</v>
      </c>
      <c r="H53" s="135">
        <f t="shared" si="9"/>
        <v>38.825921927178385</v>
      </c>
      <c r="I53" s="3"/>
      <c r="J53" s="3"/>
      <c r="K53" s="3"/>
      <c r="L53" s="3"/>
      <c r="M53" s="3"/>
      <c r="N53" s="3"/>
      <c r="O53" s="3"/>
      <c r="P53" s="3"/>
      <c r="Q53" s="3"/>
      <c r="R53" s="3"/>
      <c r="S53" s="3"/>
      <c r="T53" s="3"/>
      <c r="U53" s="3"/>
    </row>
    <row r="54" spans="1:21" ht="18">
      <c r="A54" s="3"/>
      <c r="B54" s="3"/>
      <c r="C54" s="10">
        <f t="shared" si="10"/>
        <v>0.67500000000000027</v>
      </c>
      <c r="D54" s="11">
        <f t="shared" si="5"/>
        <v>0.32499999999999973</v>
      </c>
      <c r="E54" s="130">
        <f t="shared" si="6"/>
        <v>67.500000000000028</v>
      </c>
      <c r="F54" s="130">
        <f t="shared" si="7"/>
        <v>32.499999999999972</v>
      </c>
      <c r="G54" s="134">
        <f t="shared" si="8"/>
        <v>63.123680936912585</v>
      </c>
      <c r="H54" s="135">
        <f t="shared" si="9"/>
        <v>36.052641789522774</v>
      </c>
      <c r="I54" s="3"/>
      <c r="J54" s="3"/>
      <c r="K54" s="3"/>
      <c r="L54" s="3"/>
      <c r="M54" s="3"/>
      <c r="N54" s="3"/>
      <c r="O54" s="3"/>
      <c r="P54" s="3"/>
      <c r="Q54" s="3"/>
      <c r="R54" s="3"/>
      <c r="S54" s="3"/>
      <c r="T54" s="3"/>
      <c r="U54" s="3"/>
    </row>
    <row r="55" spans="1:21" ht="18">
      <c r="A55" s="3"/>
      <c r="B55" s="3"/>
      <c r="C55" s="10">
        <f t="shared" si="10"/>
        <v>0.70000000000000029</v>
      </c>
      <c r="D55" s="11">
        <f t="shared" si="5"/>
        <v>0.29999999999999971</v>
      </c>
      <c r="E55" s="130">
        <f t="shared" si="6"/>
        <v>70.000000000000028</v>
      </c>
      <c r="F55" s="130">
        <f t="shared" si="7"/>
        <v>29.999999999999972</v>
      </c>
      <c r="G55" s="134">
        <f t="shared" si="8"/>
        <v>65.461595045687119</v>
      </c>
      <c r="H55" s="135">
        <f t="shared" si="9"/>
        <v>33.279361651867177</v>
      </c>
      <c r="I55" s="3"/>
      <c r="J55" s="3"/>
      <c r="K55" s="3"/>
      <c r="L55" s="3"/>
      <c r="M55" s="3"/>
      <c r="N55" s="3"/>
      <c r="O55" s="3"/>
      <c r="P55" s="3"/>
      <c r="Q55" s="3"/>
      <c r="R55" s="3"/>
      <c r="S55" s="3"/>
      <c r="T55" s="3"/>
      <c r="U55" s="3"/>
    </row>
    <row r="56" spans="1:21" ht="18">
      <c r="A56" s="3"/>
      <c r="B56" s="3"/>
      <c r="C56" s="10">
        <f t="shared" si="10"/>
        <v>0.72500000000000031</v>
      </c>
      <c r="D56" s="11">
        <f t="shared" si="5"/>
        <v>0.27499999999999969</v>
      </c>
      <c r="E56" s="130">
        <f t="shared" si="6"/>
        <v>72.500000000000028</v>
      </c>
      <c r="F56" s="130">
        <f t="shared" si="7"/>
        <v>27.499999999999968</v>
      </c>
      <c r="G56" s="134">
        <f t="shared" si="8"/>
        <v>67.79950915446166</v>
      </c>
      <c r="H56" s="135">
        <f t="shared" si="9"/>
        <v>30.506081514211569</v>
      </c>
      <c r="I56" s="3"/>
      <c r="J56" s="3"/>
      <c r="K56" s="3"/>
      <c r="L56" s="3"/>
      <c r="M56" s="3"/>
      <c r="N56" s="3"/>
      <c r="O56" s="3"/>
      <c r="P56" s="3"/>
      <c r="Q56" s="3"/>
      <c r="R56" s="3"/>
      <c r="S56" s="3"/>
      <c r="T56" s="3"/>
      <c r="U56" s="3"/>
    </row>
    <row r="57" spans="1:21" ht="18">
      <c r="A57" s="3"/>
      <c r="B57" s="3"/>
      <c r="C57" s="10">
        <f t="shared" si="10"/>
        <v>0.75000000000000033</v>
      </c>
      <c r="D57" s="11">
        <f t="shared" si="5"/>
        <v>0.24999999999999967</v>
      </c>
      <c r="E57" s="130">
        <f t="shared" si="6"/>
        <v>75.000000000000028</v>
      </c>
      <c r="F57" s="130">
        <f t="shared" si="7"/>
        <v>24.999999999999968</v>
      </c>
      <c r="G57" s="134">
        <f t="shared" si="8"/>
        <v>70.137423263236201</v>
      </c>
      <c r="H57" s="135">
        <f t="shared" si="9"/>
        <v>27.732801376555972</v>
      </c>
      <c r="I57" s="3"/>
      <c r="J57" s="3"/>
      <c r="K57" s="3"/>
      <c r="L57" s="3"/>
      <c r="M57" s="3"/>
      <c r="N57" s="3"/>
      <c r="O57" s="3"/>
      <c r="P57" s="3"/>
      <c r="Q57" s="3"/>
      <c r="R57" s="3"/>
      <c r="S57" s="3"/>
      <c r="T57" s="3"/>
      <c r="U57" s="3"/>
    </row>
    <row r="58" spans="1:21" ht="18">
      <c r="A58" s="3"/>
      <c r="B58" s="3"/>
      <c r="C58" s="10">
        <f t="shared" si="10"/>
        <v>0.77500000000000036</v>
      </c>
      <c r="D58" s="11">
        <f t="shared" si="5"/>
        <v>0.22499999999999964</v>
      </c>
      <c r="E58" s="130">
        <f t="shared" si="6"/>
        <v>77.500000000000028</v>
      </c>
      <c r="F58" s="130">
        <f t="shared" si="7"/>
        <v>22.499999999999964</v>
      </c>
      <c r="G58" s="134">
        <f t="shared" si="8"/>
        <v>72.475337372010742</v>
      </c>
      <c r="H58" s="135">
        <f t="shared" si="9"/>
        <v>24.959521238900368</v>
      </c>
      <c r="I58" s="3"/>
      <c r="J58" s="3"/>
      <c r="K58" s="3"/>
      <c r="L58" s="3"/>
      <c r="M58" s="3"/>
      <c r="N58" s="3"/>
      <c r="O58" s="3"/>
      <c r="P58" s="3"/>
      <c r="Q58" s="3"/>
      <c r="R58" s="3"/>
      <c r="S58" s="3"/>
      <c r="T58" s="3"/>
      <c r="U58" s="3"/>
    </row>
    <row r="59" spans="1:21" ht="18">
      <c r="A59" s="3"/>
      <c r="B59" s="3"/>
      <c r="C59" s="10">
        <f t="shared" si="10"/>
        <v>0.80000000000000038</v>
      </c>
      <c r="D59" s="11">
        <f t="shared" si="5"/>
        <v>0.19999999999999962</v>
      </c>
      <c r="E59" s="130">
        <f t="shared" si="6"/>
        <v>80.000000000000043</v>
      </c>
      <c r="F59" s="130">
        <f t="shared" si="7"/>
        <v>19.999999999999961</v>
      </c>
      <c r="G59" s="134">
        <f t="shared" si="8"/>
        <v>74.813251480785297</v>
      </c>
      <c r="H59" s="135">
        <f t="shared" si="9"/>
        <v>22.186241101244761</v>
      </c>
      <c r="I59" s="3"/>
      <c r="J59" s="3"/>
      <c r="K59" s="3"/>
      <c r="L59" s="3"/>
      <c r="M59" s="3"/>
      <c r="N59" s="3"/>
      <c r="O59" s="3"/>
      <c r="P59" s="3"/>
      <c r="Q59" s="3"/>
      <c r="R59" s="3"/>
      <c r="S59" s="3"/>
      <c r="T59" s="3"/>
      <c r="U59" s="3"/>
    </row>
    <row r="60" spans="1:21" ht="18">
      <c r="A60" s="3"/>
      <c r="B60" s="3"/>
      <c r="C60" s="10">
        <f>C59+0.025</f>
        <v>0.8250000000000004</v>
      </c>
      <c r="D60" s="11">
        <f t="shared" si="5"/>
        <v>0.1749999999999996</v>
      </c>
      <c r="E60" s="130">
        <f t="shared" si="6"/>
        <v>82.500000000000043</v>
      </c>
      <c r="F60" s="130">
        <f t="shared" si="7"/>
        <v>17.499999999999961</v>
      </c>
      <c r="G60" s="134">
        <f t="shared" si="8"/>
        <v>77.151165589559838</v>
      </c>
      <c r="H60" s="135">
        <f t="shared" si="9"/>
        <v>19.412960963589164</v>
      </c>
      <c r="I60" s="3"/>
      <c r="J60" s="3"/>
      <c r="K60" s="3"/>
      <c r="L60" s="3"/>
      <c r="M60" s="3"/>
      <c r="N60" s="3"/>
      <c r="O60" s="3"/>
      <c r="P60" s="3"/>
      <c r="Q60" s="3"/>
      <c r="R60" s="3"/>
      <c r="S60" s="3"/>
      <c r="T60" s="3"/>
      <c r="U60" s="3"/>
    </row>
    <row r="61" spans="1:21" ht="18">
      <c r="A61" s="3"/>
      <c r="B61" s="3"/>
      <c r="C61" s="10">
        <f t="shared" si="10"/>
        <v>0.85000000000000042</v>
      </c>
      <c r="D61" s="11">
        <f t="shared" si="5"/>
        <v>0.14999999999999958</v>
      </c>
      <c r="E61" s="130">
        <f t="shared" si="6"/>
        <v>85.000000000000043</v>
      </c>
      <c r="F61" s="130">
        <f t="shared" si="7"/>
        <v>14.999999999999957</v>
      </c>
      <c r="G61" s="134">
        <f t="shared" si="8"/>
        <v>79.489079698334365</v>
      </c>
      <c r="H61" s="135">
        <f t="shared" si="9"/>
        <v>16.639680825933556</v>
      </c>
      <c r="I61" s="3"/>
      <c r="J61" s="3"/>
      <c r="K61" s="3"/>
      <c r="L61" s="3"/>
      <c r="M61" s="3"/>
      <c r="N61" s="3"/>
      <c r="O61" s="3"/>
      <c r="P61" s="3"/>
      <c r="Q61" s="3"/>
      <c r="R61" s="3"/>
      <c r="S61" s="3"/>
      <c r="T61" s="3"/>
      <c r="U61" s="3"/>
    </row>
    <row r="62" spans="1:21" ht="18">
      <c r="A62" s="3"/>
      <c r="B62" s="3"/>
      <c r="C62" s="10">
        <f t="shared" si="10"/>
        <v>0.87500000000000044</v>
      </c>
      <c r="D62" s="11">
        <f t="shared" si="5"/>
        <v>0.12499999999999956</v>
      </c>
      <c r="E62" s="130">
        <f t="shared" si="6"/>
        <v>87.500000000000043</v>
      </c>
      <c r="F62" s="130">
        <f t="shared" si="7"/>
        <v>12.499999999999956</v>
      </c>
      <c r="G62" s="134">
        <f t="shared" si="8"/>
        <v>81.826993807108906</v>
      </c>
      <c r="H62" s="135">
        <f t="shared" si="9"/>
        <v>13.866400688277954</v>
      </c>
      <c r="I62" s="3"/>
      <c r="J62" s="3"/>
      <c r="K62" s="3"/>
      <c r="L62" s="3"/>
      <c r="M62" s="3"/>
      <c r="N62" s="3"/>
      <c r="O62" s="3"/>
      <c r="P62" s="3"/>
      <c r="Q62" s="3"/>
      <c r="R62" s="3"/>
      <c r="S62" s="3"/>
      <c r="T62" s="3"/>
      <c r="U62" s="3"/>
    </row>
    <row r="63" spans="1:21" ht="18">
      <c r="A63" s="3"/>
      <c r="B63" s="3"/>
      <c r="C63" s="10">
        <f t="shared" si="10"/>
        <v>0.90000000000000047</v>
      </c>
      <c r="D63" s="11">
        <f t="shared" si="5"/>
        <v>9.9999999999999534E-2</v>
      </c>
      <c r="E63" s="130">
        <f t="shared" si="6"/>
        <v>90.000000000000043</v>
      </c>
      <c r="F63" s="130">
        <f t="shared" si="7"/>
        <v>9.9999999999999538</v>
      </c>
      <c r="G63" s="134">
        <f t="shared" si="8"/>
        <v>84.164907915883447</v>
      </c>
      <c r="H63" s="135">
        <f t="shared" si="9"/>
        <v>11.093120550622352</v>
      </c>
      <c r="I63" s="3"/>
      <c r="J63" s="3"/>
      <c r="K63" s="3"/>
      <c r="L63" s="3"/>
      <c r="M63" s="3"/>
      <c r="N63" s="3"/>
      <c r="O63" s="3"/>
      <c r="P63" s="3"/>
      <c r="Q63" s="3"/>
      <c r="R63" s="3"/>
      <c r="S63" s="3"/>
      <c r="T63" s="3"/>
      <c r="U63" s="3"/>
    </row>
    <row r="64" spans="1:21" ht="18">
      <c r="A64" s="3"/>
      <c r="B64" s="3"/>
      <c r="C64" s="10">
        <f t="shared" si="10"/>
        <v>0.92500000000000049</v>
      </c>
      <c r="D64" s="11">
        <f t="shared" si="5"/>
        <v>7.4999999999999512E-2</v>
      </c>
      <c r="E64" s="130">
        <f t="shared" si="6"/>
        <v>92.500000000000043</v>
      </c>
      <c r="F64" s="130">
        <f t="shared" si="7"/>
        <v>7.4999999999999512</v>
      </c>
      <c r="G64" s="134">
        <f t="shared" si="8"/>
        <v>86.502822024657988</v>
      </c>
      <c r="H64" s="135">
        <f t="shared" si="9"/>
        <v>8.319840412966748</v>
      </c>
      <c r="I64" s="3"/>
      <c r="J64" s="3"/>
      <c r="K64" s="3"/>
      <c r="L64" s="3"/>
      <c r="M64" s="3"/>
      <c r="N64" s="3"/>
      <c r="O64" s="3"/>
      <c r="P64" s="3"/>
      <c r="Q64" s="3"/>
      <c r="R64" s="3"/>
      <c r="S64" s="3"/>
      <c r="T64" s="3"/>
      <c r="U64" s="3"/>
    </row>
    <row r="65" spans="1:21" ht="18">
      <c r="A65" s="3"/>
      <c r="B65" s="3"/>
      <c r="C65" s="10">
        <f t="shared" si="10"/>
        <v>0.95000000000000051</v>
      </c>
      <c r="D65" s="11">
        <f t="shared" si="5"/>
        <v>4.9999999999999489E-2</v>
      </c>
      <c r="E65" s="130">
        <f t="shared" si="6"/>
        <v>95.000000000000057</v>
      </c>
      <c r="F65" s="130">
        <f t="shared" si="7"/>
        <v>4.9999999999999485</v>
      </c>
      <c r="G65" s="134">
        <f t="shared" si="8"/>
        <v>88.840736133432543</v>
      </c>
      <c r="H65" s="135">
        <f t="shared" si="9"/>
        <v>5.546560275311144</v>
      </c>
      <c r="I65" s="3"/>
      <c r="J65" s="3"/>
      <c r="K65" s="3"/>
      <c r="L65" s="3"/>
      <c r="M65" s="3"/>
      <c r="N65" s="3"/>
      <c r="O65" s="3"/>
      <c r="P65" s="3"/>
      <c r="Q65" s="3"/>
      <c r="R65" s="3"/>
      <c r="S65" s="3"/>
      <c r="T65" s="3"/>
      <c r="U65" s="3"/>
    </row>
    <row r="66" spans="1:21" ht="18">
      <c r="A66" s="3"/>
      <c r="B66" s="3"/>
      <c r="C66" s="10">
        <f t="shared" si="10"/>
        <v>0.97500000000000053</v>
      </c>
      <c r="D66" s="11">
        <f t="shared" si="5"/>
        <v>2.4999999999999467E-2</v>
      </c>
      <c r="E66" s="130">
        <f t="shared" si="6"/>
        <v>97.500000000000057</v>
      </c>
      <c r="F66" s="130">
        <f t="shared" si="7"/>
        <v>2.4999999999999467</v>
      </c>
      <c r="G66" s="134">
        <f t="shared" si="8"/>
        <v>91.178650242207084</v>
      </c>
      <c r="H66" s="135">
        <f t="shared" si="9"/>
        <v>2.7732801376555418</v>
      </c>
      <c r="I66" s="3"/>
      <c r="J66" s="3"/>
      <c r="K66" s="3"/>
      <c r="L66" s="3"/>
      <c r="M66" s="3"/>
      <c r="N66" s="3"/>
      <c r="O66" s="3"/>
      <c r="P66" s="3"/>
      <c r="Q66" s="3"/>
      <c r="R66" s="3"/>
      <c r="S66" s="3"/>
      <c r="T66" s="3"/>
      <c r="U66" s="3"/>
    </row>
    <row r="67" spans="1:21" ht="19" thickBot="1">
      <c r="A67" s="3"/>
      <c r="B67" s="3"/>
      <c r="C67" s="12">
        <f>C66+0.025</f>
        <v>1.0000000000000004</v>
      </c>
      <c r="D67" s="13">
        <f t="shared" si="5"/>
        <v>0</v>
      </c>
      <c r="E67" s="131">
        <f t="shared" si="6"/>
        <v>100.00000000000004</v>
      </c>
      <c r="F67" s="131">
        <f t="shared" si="7"/>
        <v>0</v>
      </c>
      <c r="G67" s="136">
        <f t="shared" si="8"/>
        <v>93.516564350981596</v>
      </c>
      <c r="H67" s="137">
        <f t="shared" si="9"/>
        <v>0</v>
      </c>
      <c r="I67" s="3"/>
      <c r="J67" s="3"/>
      <c r="K67" s="3"/>
      <c r="L67" s="3"/>
      <c r="M67" s="3"/>
      <c r="N67" s="3"/>
      <c r="O67" s="3"/>
      <c r="P67" s="3"/>
      <c r="Q67" s="3"/>
      <c r="R67" s="3"/>
      <c r="S67" s="3"/>
      <c r="T67" s="3"/>
      <c r="U67" s="3"/>
    </row>
    <row r="68" spans="1:21" ht="18">
      <c r="A68" s="3"/>
      <c r="B68" s="3"/>
      <c r="C68" s="3"/>
      <c r="D68" s="3"/>
      <c r="E68" s="3"/>
      <c r="F68" s="3"/>
      <c r="G68" s="3"/>
      <c r="H68" s="3"/>
      <c r="I68" s="3"/>
      <c r="J68" s="3"/>
      <c r="K68" s="3"/>
      <c r="L68" s="3"/>
      <c r="M68" s="3"/>
      <c r="N68" s="3"/>
      <c r="O68" s="3"/>
      <c r="P68" s="3"/>
      <c r="Q68" s="3"/>
      <c r="R68" s="3"/>
      <c r="S68" s="3"/>
      <c r="T68" s="3"/>
      <c r="U68" s="3"/>
    </row>
    <row r="69" spans="1:21" ht="18">
      <c r="A69" s="3"/>
      <c r="B69" s="4" t="s">
        <v>3</v>
      </c>
      <c r="C69" s="4" t="s">
        <v>79</v>
      </c>
      <c r="D69" s="55"/>
      <c r="E69" s="55"/>
      <c r="F69" s="55"/>
      <c r="G69" s="55"/>
      <c r="H69" s="55"/>
      <c r="I69" s="55"/>
      <c r="J69" s="55"/>
      <c r="K69" s="55"/>
      <c r="L69" s="55"/>
      <c r="M69" s="55"/>
      <c r="N69" s="55"/>
      <c r="O69" s="3"/>
      <c r="P69" s="3"/>
      <c r="Q69" s="3"/>
      <c r="R69" s="3"/>
      <c r="S69" s="3"/>
      <c r="T69" s="3"/>
      <c r="U69" s="3"/>
    </row>
    <row r="70" spans="1:21" ht="19" thickBot="1">
      <c r="A70" s="3"/>
      <c r="B70" s="3"/>
      <c r="C70" s="3"/>
      <c r="D70" s="3"/>
      <c r="E70" s="3"/>
      <c r="F70" s="3"/>
      <c r="G70" s="3"/>
      <c r="H70" s="3"/>
      <c r="I70" s="3"/>
      <c r="J70" s="3"/>
      <c r="K70" s="3"/>
      <c r="L70" s="3"/>
      <c r="M70" s="3"/>
      <c r="N70" s="3"/>
      <c r="O70" s="3"/>
      <c r="P70" s="3"/>
      <c r="Q70" s="3"/>
      <c r="R70" s="3"/>
      <c r="S70" s="3"/>
      <c r="T70" s="3"/>
      <c r="U70" s="3"/>
    </row>
    <row r="71" spans="1:21" ht="18">
      <c r="A71" s="3"/>
      <c r="C71" s="99" t="s">
        <v>5</v>
      </c>
      <c r="D71" s="100">
        <v>0.5</v>
      </c>
      <c r="E71" s="100">
        <v>1</v>
      </c>
      <c r="F71" s="100">
        <v>1.5</v>
      </c>
      <c r="G71" s="100">
        <v>2</v>
      </c>
      <c r="H71" s="100">
        <v>2.5</v>
      </c>
      <c r="I71" s="100">
        <v>3</v>
      </c>
      <c r="J71" s="100">
        <v>3.5</v>
      </c>
      <c r="K71" s="100">
        <v>4</v>
      </c>
      <c r="L71" s="100">
        <v>4.5</v>
      </c>
      <c r="M71" s="101">
        <v>5</v>
      </c>
      <c r="N71" s="3"/>
      <c r="O71" s="3"/>
      <c r="P71" s="3"/>
      <c r="Q71" s="3"/>
      <c r="R71" s="3"/>
      <c r="S71" s="3"/>
      <c r="T71" s="3"/>
    </row>
    <row r="72" spans="1:21" ht="18">
      <c r="A72" s="3"/>
      <c r="C72" s="10" t="s">
        <v>96</v>
      </c>
      <c r="D72" s="70">
        <v>2</v>
      </c>
      <c r="E72" s="70">
        <v>2</v>
      </c>
      <c r="F72" s="70">
        <v>2</v>
      </c>
      <c r="G72" s="70">
        <v>2</v>
      </c>
      <c r="H72" s="70">
        <v>2</v>
      </c>
      <c r="I72" s="70">
        <v>2</v>
      </c>
      <c r="J72" s="70">
        <v>2</v>
      </c>
      <c r="K72" s="70">
        <v>2</v>
      </c>
      <c r="L72" s="70">
        <v>2</v>
      </c>
      <c r="M72" s="102">
        <v>102</v>
      </c>
      <c r="N72" s="3"/>
      <c r="O72" s="3"/>
      <c r="P72" s="3"/>
      <c r="Q72" s="3"/>
      <c r="R72" s="3"/>
      <c r="S72" s="3"/>
      <c r="T72" s="3"/>
    </row>
    <row r="73" spans="1:21" ht="19" thickBot="1">
      <c r="A73" s="3"/>
      <c r="C73" s="12" t="s">
        <v>97</v>
      </c>
      <c r="D73" s="103">
        <v>0</v>
      </c>
      <c r="E73" s="103">
        <v>1.5</v>
      </c>
      <c r="F73" s="103">
        <v>0</v>
      </c>
      <c r="G73" s="103">
        <v>1.5</v>
      </c>
      <c r="H73" s="103">
        <v>0</v>
      </c>
      <c r="I73" s="103">
        <v>101.5</v>
      </c>
      <c r="J73" s="103">
        <v>0</v>
      </c>
      <c r="K73" s="103">
        <v>0</v>
      </c>
      <c r="L73" s="103">
        <v>0</v>
      </c>
      <c r="M73" s="104">
        <v>0</v>
      </c>
      <c r="N73" s="3"/>
      <c r="O73" s="3"/>
      <c r="P73" s="3"/>
      <c r="Q73" s="3"/>
      <c r="R73" s="3"/>
      <c r="S73" s="3"/>
      <c r="T73" s="3"/>
    </row>
    <row r="74" spans="1:21" ht="19" thickBot="1">
      <c r="A74" s="3"/>
      <c r="B74" s="16"/>
      <c r="C74" s="3"/>
      <c r="D74" s="3"/>
      <c r="E74" s="3"/>
      <c r="F74" s="3"/>
      <c r="G74" s="3"/>
      <c r="H74" s="3"/>
      <c r="I74" s="3"/>
      <c r="J74" s="3"/>
      <c r="K74" s="3"/>
      <c r="L74" s="3"/>
      <c r="M74" s="3"/>
      <c r="N74" s="3"/>
      <c r="O74" s="3"/>
      <c r="P74" s="3"/>
      <c r="Q74" s="3"/>
      <c r="R74" s="3"/>
      <c r="S74" s="3"/>
      <c r="T74" s="3"/>
    </row>
    <row r="75" spans="1:21" ht="18">
      <c r="A75" s="3"/>
      <c r="B75" s="3"/>
      <c r="C75" s="3"/>
      <c r="D75" s="7" t="s">
        <v>80</v>
      </c>
      <c r="E75" s="8" t="s">
        <v>81</v>
      </c>
      <c r="F75" s="8" t="s">
        <v>82</v>
      </c>
      <c r="G75" s="8" t="s">
        <v>83</v>
      </c>
      <c r="H75" s="8" t="s">
        <v>84</v>
      </c>
      <c r="I75" s="8" t="s">
        <v>85</v>
      </c>
      <c r="J75" s="8" t="s">
        <v>86</v>
      </c>
      <c r="K75" s="8" t="s">
        <v>87</v>
      </c>
      <c r="L75" s="8" t="s">
        <v>88</v>
      </c>
      <c r="M75" s="9" t="s">
        <v>89</v>
      </c>
      <c r="N75" s="53" t="s">
        <v>90</v>
      </c>
      <c r="O75" s="3"/>
      <c r="P75" s="3"/>
      <c r="Q75" s="3"/>
      <c r="R75" s="3"/>
      <c r="S75" s="3"/>
    </row>
    <row r="76" spans="1:21" ht="18">
      <c r="A76" s="3"/>
      <c r="B76" s="3"/>
      <c r="C76" s="3"/>
      <c r="D76" s="105">
        <f>($G27*D$72+$H27*D$73)/100</f>
        <v>0</v>
      </c>
      <c r="E76" s="98">
        <f>($G27*E$72+$H27*E$73)/100</f>
        <v>1.66396808259336</v>
      </c>
      <c r="F76" s="98">
        <f>($G27*F$72+$H27*F$73)/100</f>
        <v>0</v>
      </c>
      <c r="G76" s="98">
        <f>($G27*G$72+$H27*G$73)/100</f>
        <v>1.66396808259336</v>
      </c>
      <c r="H76" s="98">
        <f>($G27*H$72+$H27*H$73)/100</f>
        <v>0</v>
      </c>
      <c r="I76" s="98">
        <f>($G27*I$72+$H27*I$73)/100</f>
        <v>112.59517358881737</v>
      </c>
      <c r="J76" s="98">
        <f>($G27*J$72+$H27*J$73)/100</f>
        <v>0</v>
      </c>
      <c r="K76" s="98">
        <f>($G27*K$72+$H27*K$73)/100</f>
        <v>0</v>
      </c>
      <c r="L76" s="98">
        <f>($G27*L$72+$H27*L$73)/100</f>
        <v>0</v>
      </c>
      <c r="M76" s="106">
        <f>($G27*M$72+$H27*M$73)/100</f>
        <v>0</v>
      </c>
      <c r="N76" s="110">
        <f>newton(0.03,10^-9,D76:M76)</f>
        <v>4.9999999999999906E-2</v>
      </c>
      <c r="O76" s="3"/>
      <c r="P76" s="3"/>
      <c r="Q76" s="3"/>
      <c r="R76" s="3"/>
      <c r="S76" s="3"/>
    </row>
    <row r="77" spans="1:21" ht="18">
      <c r="A77" s="3"/>
      <c r="B77" s="3"/>
      <c r="C77" s="3"/>
      <c r="D77" s="105">
        <f>($G28*D$72+$H28*D$73)/100</f>
        <v>4.6758282175490787E-2</v>
      </c>
      <c r="E77" s="98">
        <f>($G28*E$72+$H28*E$73)/100</f>
        <v>1.6691271627040172</v>
      </c>
      <c r="F77" s="98">
        <f>($G28*F$72+$H28*F$73)/100</f>
        <v>4.6758282175490787E-2</v>
      </c>
      <c r="G77" s="98">
        <f>($G28*G$72+$H28*G$73)/100</f>
        <v>1.6691271627040172</v>
      </c>
      <c r="H77" s="98">
        <f>($G28*H$72+$H28*H$73)/100</f>
        <v>4.6758282175490787E-2</v>
      </c>
      <c r="I77" s="98">
        <f>($G28*I$72+$H28*I$73)/100</f>
        <v>109.82705253127244</v>
      </c>
      <c r="J77" s="98">
        <f>($G28*J$72+$H28*J$73)/100</f>
        <v>4.6758282175490787E-2</v>
      </c>
      <c r="K77" s="98">
        <f>($G28*K$72+$H28*K$73)/100</f>
        <v>4.6758282175490787E-2</v>
      </c>
      <c r="L77" s="98">
        <f>($G28*L$72+$H28*L$73)/100</f>
        <v>4.6758282175490787E-2</v>
      </c>
      <c r="M77" s="106">
        <f>($G28*M$72+$H28*M$73)/100</f>
        <v>2.3846723909500303</v>
      </c>
      <c r="N77" s="110">
        <f t="shared" ref="N77:N116" si="11">newton(0.03,10^-9,D77:M77)</f>
        <v>4.9093379205530731E-2</v>
      </c>
      <c r="O77" s="3"/>
      <c r="P77" s="3"/>
      <c r="Q77" s="3"/>
      <c r="R77" s="3"/>
      <c r="S77" s="3"/>
    </row>
    <row r="78" spans="1:21" ht="18">
      <c r="A78" s="3"/>
      <c r="B78" s="3"/>
      <c r="C78" s="3"/>
      <c r="D78" s="105">
        <f>($G29*D$72+$H29*D$73)/100</f>
        <v>9.3516564350981574E-2</v>
      </c>
      <c r="E78" s="98">
        <f>($G29*E$72+$H29*E$73)/100</f>
        <v>1.6742862428146739</v>
      </c>
      <c r="F78" s="98">
        <f>($G29*F$72+$H29*F$73)/100</f>
        <v>9.3516564350981574E-2</v>
      </c>
      <c r="G78" s="98">
        <f>($G29*G$72+$H29*G$73)/100</f>
        <v>1.6742862428146739</v>
      </c>
      <c r="H78" s="98">
        <f>($G29*H$72+$H29*H$73)/100</f>
        <v>9.3516564350981574E-2</v>
      </c>
      <c r="I78" s="98">
        <f>($G29*I$72+$H29*I$73)/100</f>
        <v>107.0589314737275</v>
      </c>
      <c r="J78" s="98">
        <f>($G29*J$72+$H29*J$73)/100</f>
        <v>9.3516564350981574E-2</v>
      </c>
      <c r="K78" s="98">
        <f>($G29*K$72+$H29*K$73)/100</f>
        <v>9.3516564350981574E-2</v>
      </c>
      <c r="L78" s="98">
        <f>($G29*L$72+$H29*L$73)/100</f>
        <v>9.3516564350981574E-2</v>
      </c>
      <c r="M78" s="106">
        <f>($G29*M$72+$H29*M$73)/100</f>
        <v>4.7693447819000605</v>
      </c>
      <c r="N78" s="110">
        <f t="shared" si="11"/>
        <v>4.8206166906569675E-2</v>
      </c>
      <c r="O78" s="3"/>
      <c r="P78" s="3"/>
      <c r="Q78" s="3"/>
      <c r="R78" s="3"/>
      <c r="S78" s="3"/>
    </row>
    <row r="79" spans="1:21" ht="18">
      <c r="A79" s="3"/>
      <c r="B79" s="3"/>
      <c r="C79" s="3"/>
      <c r="D79" s="105">
        <f>($G30*D$72+$H30*D$73)/100</f>
        <v>0.14027484652647237</v>
      </c>
      <c r="E79" s="98">
        <f>($G30*E$72+$H30*E$73)/100</f>
        <v>1.679445322925331</v>
      </c>
      <c r="F79" s="98">
        <f>($G30*F$72+$H30*F$73)/100</f>
        <v>0.14027484652647237</v>
      </c>
      <c r="G79" s="98">
        <f>($G30*G$72+$H30*G$73)/100</f>
        <v>1.679445322925331</v>
      </c>
      <c r="H79" s="98">
        <f>($G30*H$72+$H30*H$73)/100</f>
        <v>0.14027484652647237</v>
      </c>
      <c r="I79" s="98">
        <f>($G30*I$72+$H30*I$73)/100</f>
        <v>104.29081041618258</v>
      </c>
      <c r="J79" s="98">
        <f>($G30*J$72+$H30*J$73)/100</f>
        <v>0.14027484652647237</v>
      </c>
      <c r="K79" s="98">
        <f>($G30*K$72+$H30*K$73)/100</f>
        <v>0.14027484652647237</v>
      </c>
      <c r="L79" s="98">
        <f>($G30*L$72+$H30*L$73)/100</f>
        <v>0.14027484652647237</v>
      </c>
      <c r="M79" s="106">
        <f>($G30*M$72+$H30*M$73)/100</f>
        <v>7.1540171728500912</v>
      </c>
      <c r="N79" s="110">
        <f t="shared" si="11"/>
        <v>4.7337885904930495E-2</v>
      </c>
      <c r="O79" s="3"/>
      <c r="P79" s="3"/>
      <c r="Q79" s="3"/>
      <c r="R79" s="3"/>
      <c r="S79" s="3"/>
    </row>
    <row r="80" spans="1:21" ht="18">
      <c r="A80" s="3"/>
      <c r="B80" s="3"/>
      <c r="C80" s="3"/>
      <c r="D80" s="105">
        <f>($G31*D$72+$H31*D$73)/100</f>
        <v>0.18703312870196315</v>
      </c>
      <c r="E80" s="98">
        <f>($G31*E$72+$H31*E$73)/100</f>
        <v>1.6846044030359877</v>
      </c>
      <c r="F80" s="98">
        <f>($G31*F$72+$H31*F$73)/100</f>
        <v>0.18703312870196315</v>
      </c>
      <c r="G80" s="98">
        <f>($G31*G$72+$H31*G$73)/100</f>
        <v>1.6846044030359877</v>
      </c>
      <c r="H80" s="98">
        <f>($G31*H$72+$H31*H$73)/100</f>
        <v>0.18703312870196315</v>
      </c>
      <c r="I80" s="98">
        <f>($G31*I$72+$H31*I$73)/100</f>
        <v>101.52268935863762</v>
      </c>
      <c r="J80" s="98">
        <f>($G31*J$72+$H31*J$73)/100</f>
        <v>0.18703312870196315</v>
      </c>
      <c r="K80" s="98">
        <f>($G31*K$72+$H31*K$73)/100</f>
        <v>0.18703312870196315</v>
      </c>
      <c r="L80" s="98">
        <f>($G31*L$72+$H31*L$73)/100</f>
        <v>0.18703312870196315</v>
      </c>
      <c r="M80" s="106">
        <f>($G31*M$72+$H31*M$73)/100</f>
        <v>9.538689563800121</v>
      </c>
      <c r="N80" s="110">
        <f t="shared" si="11"/>
        <v>4.6488067900265426E-2</v>
      </c>
      <c r="O80" s="3"/>
      <c r="P80" s="3"/>
      <c r="Q80" s="3"/>
      <c r="R80" s="3"/>
      <c r="S80" s="3"/>
    </row>
    <row r="81" spans="1:19" ht="18">
      <c r="A81" s="3"/>
      <c r="B81" s="3"/>
      <c r="C81" s="3"/>
      <c r="D81" s="105">
        <f>($G32*D$72+$H32*D$73)/100</f>
        <v>0.23379141087745392</v>
      </c>
      <c r="E81" s="98">
        <f>($G32*E$72+$H32*E$73)/100</f>
        <v>1.6897634831466442</v>
      </c>
      <c r="F81" s="98">
        <f>($G32*F$72+$H32*F$73)/100</f>
        <v>0.23379141087745392</v>
      </c>
      <c r="G81" s="98">
        <f>($G32*G$72+$H32*G$73)/100</f>
        <v>1.6897634831466442</v>
      </c>
      <c r="H81" s="98">
        <f>($G32*H$72+$H32*H$73)/100</f>
        <v>0.23379141087745392</v>
      </c>
      <c r="I81" s="98">
        <f>($G32*I$72+$H32*I$73)/100</f>
        <v>98.754568301092675</v>
      </c>
      <c r="J81" s="98">
        <f>($G32*J$72+$H32*J$73)/100</f>
        <v>0.23379141087745392</v>
      </c>
      <c r="K81" s="98">
        <f>($G32*K$72+$H32*K$73)/100</f>
        <v>0.23379141087745392</v>
      </c>
      <c r="L81" s="98">
        <f>($G32*L$72+$H32*L$73)/100</f>
        <v>0.23379141087745392</v>
      </c>
      <c r="M81" s="106">
        <f>($G32*M$72+$H32*M$73)/100</f>
        <v>11.923361954750151</v>
      </c>
      <c r="N81" s="110">
        <f t="shared" si="11"/>
        <v>4.565625372208356E-2</v>
      </c>
      <c r="O81" s="3"/>
      <c r="P81" s="3"/>
      <c r="Q81" s="3"/>
      <c r="R81" s="3"/>
      <c r="S81" s="3"/>
    </row>
    <row r="82" spans="1:19" ht="18">
      <c r="A82" s="3"/>
      <c r="B82" s="3"/>
      <c r="C82" s="3"/>
      <c r="D82" s="105">
        <f>($G33*D$72+$H33*D$73)/100</f>
        <v>0.28054969305294469</v>
      </c>
      <c r="E82" s="98">
        <f>($G33*E$72+$H33*E$73)/100</f>
        <v>1.6949225632573011</v>
      </c>
      <c r="F82" s="98">
        <f>($G33*F$72+$H33*F$73)/100</f>
        <v>0.28054969305294469</v>
      </c>
      <c r="G82" s="98">
        <f>($G33*G$72+$H33*G$73)/100</f>
        <v>1.6949225632573011</v>
      </c>
      <c r="H82" s="98">
        <f>($G33*H$72+$H33*H$73)/100</f>
        <v>0.28054969305294469</v>
      </c>
      <c r="I82" s="98">
        <f>($G33*I$72+$H33*I$73)/100</f>
        <v>95.986447243547715</v>
      </c>
      <c r="J82" s="98">
        <f>($G33*J$72+$H33*J$73)/100</f>
        <v>0.28054969305294469</v>
      </c>
      <c r="K82" s="98">
        <f>($G33*K$72+$H33*K$73)/100</f>
        <v>0.28054969305294469</v>
      </c>
      <c r="L82" s="98">
        <f>($G33*L$72+$H33*L$73)/100</f>
        <v>0.28054969305294469</v>
      </c>
      <c r="M82" s="106">
        <f>($G33*M$72+$H33*M$73)/100</f>
        <v>14.308034345700181</v>
      </c>
      <c r="N82" s="110">
        <f t="shared" si="11"/>
        <v>4.4841993512885481E-2</v>
      </c>
      <c r="O82" s="3"/>
      <c r="P82" s="3"/>
      <c r="Q82" s="3"/>
      <c r="R82" s="3"/>
      <c r="S82" s="3"/>
    </row>
    <row r="83" spans="1:19" ht="18">
      <c r="A83" s="3"/>
      <c r="B83" s="3"/>
      <c r="C83" s="3"/>
      <c r="D83" s="105">
        <f>($G34*D$72+$H34*D$73)/100</f>
        <v>0.32730797522843547</v>
      </c>
      <c r="E83" s="98">
        <f>($G34*E$72+$H34*E$73)/100</f>
        <v>1.7000816433679578</v>
      </c>
      <c r="F83" s="98">
        <f>($G34*F$72+$H34*F$73)/100</f>
        <v>0.32730797522843547</v>
      </c>
      <c r="G83" s="98">
        <f>($G34*G$72+$H34*G$73)/100</f>
        <v>1.7000816433679578</v>
      </c>
      <c r="H83" s="98">
        <f>($G34*H$72+$H34*H$73)/100</f>
        <v>0.32730797522843547</v>
      </c>
      <c r="I83" s="98">
        <f>($G34*I$72+$H34*I$73)/100</f>
        <v>93.218326186002784</v>
      </c>
      <c r="J83" s="98">
        <f>($G34*J$72+$H34*J$73)/100</f>
        <v>0.32730797522843547</v>
      </c>
      <c r="K83" s="98">
        <f>($G34*K$72+$H34*K$73)/100</f>
        <v>0.32730797522843547</v>
      </c>
      <c r="L83" s="98">
        <f>($G34*L$72+$H34*L$73)/100</f>
        <v>0.32730797522843547</v>
      </c>
      <c r="M83" s="106">
        <f>($G34*M$72+$H34*M$73)/100</f>
        <v>16.692706736650209</v>
      </c>
      <c r="N83" s="110">
        <f t="shared" si="11"/>
        <v>4.4044846866658216E-2</v>
      </c>
      <c r="O83" s="3"/>
      <c r="P83" s="3"/>
      <c r="Q83" s="3"/>
      <c r="R83" s="3"/>
      <c r="S83" s="3"/>
    </row>
    <row r="84" spans="1:19" ht="18">
      <c r="A84" s="3"/>
      <c r="B84" s="3"/>
      <c r="C84" s="3"/>
      <c r="D84" s="105">
        <f>($G35*D$72+$H35*D$73)/100</f>
        <v>0.37406625740392629</v>
      </c>
      <c r="E84" s="98">
        <f>($G35*E$72+$H35*E$73)/100</f>
        <v>1.7052407234786144</v>
      </c>
      <c r="F84" s="98">
        <f>($G35*F$72+$H35*F$73)/100</f>
        <v>0.37406625740392629</v>
      </c>
      <c r="G84" s="98">
        <f>($G35*G$72+$H35*G$73)/100</f>
        <v>1.7052407234786144</v>
      </c>
      <c r="H84" s="98">
        <f>($G35*H$72+$H35*H$73)/100</f>
        <v>0.37406625740392629</v>
      </c>
      <c r="I84" s="98">
        <f>($G35*I$72+$H35*I$73)/100</f>
        <v>90.450205128457824</v>
      </c>
      <c r="J84" s="98">
        <f>($G35*J$72+$H35*J$73)/100</f>
        <v>0.37406625740392629</v>
      </c>
      <c r="K84" s="98">
        <f>($G35*K$72+$H35*K$73)/100</f>
        <v>0.37406625740392629</v>
      </c>
      <c r="L84" s="98">
        <f>($G35*L$72+$H35*L$73)/100</f>
        <v>0.37406625740392629</v>
      </c>
      <c r="M84" s="106">
        <f>($G35*M$72+$H35*M$73)/100</f>
        <v>19.077379127600242</v>
      </c>
      <c r="N84" s="110">
        <f t="shared" si="11"/>
        <v>4.3264382926754809E-2</v>
      </c>
      <c r="O84" s="3"/>
      <c r="P84" s="3"/>
      <c r="Q84" s="3"/>
      <c r="R84" s="3"/>
      <c r="S84" s="3"/>
    </row>
    <row r="85" spans="1:19" ht="18">
      <c r="A85" s="3"/>
      <c r="B85" s="3"/>
      <c r="C85" s="3"/>
      <c r="D85" s="105">
        <f>($G36*D$72+$H36*D$73)/100</f>
        <v>0.42082453957941696</v>
      </c>
      <c r="E85" s="98">
        <f>($G36*E$72+$H36*E$73)/100</f>
        <v>1.7103998035892716</v>
      </c>
      <c r="F85" s="98">
        <f>($G36*F$72+$H36*F$73)/100</f>
        <v>0.42082453957941696</v>
      </c>
      <c r="G85" s="98">
        <f>($G36*G$72+$H36*G$73)/100</f>
        <v>1.7103998035892716</v>
      </c>
      <c r="H85" s="98">
        <f>($G36*H$72+$H36*H$73)/100</f>
        <v>0.42082453957941696</v>
      </c>
      <c r="I85" s="98">
        <f>($G36*I$72+$H36*I$73)/100</f>
        <v>87.682084070912893</v>
      </c>
      <c r="J85" s="98">
        <f>($G36*J$72+$H36*J$73)/100</f>
        <v>0.42082453957941696</v>
      </c>
      <c r="K85" s="98">
        <f>($G36*K$72+$H36*K$73)/100</f>
        <v>0.42082453957941696</v>
      </c>
      <c r="L85" s="98">
        <f>($G36*L$72+$H36*L$73)/100</f>
        <v>0.42082453957941696</v>
      </c>
      <c r="M85" s="106">
        <f>($G36*M$72+$H36*M$73)/100</f>
        <v>21.462051518550265</v>
      </c>
      <c r="N85" s="110">
        <f t="shared" si="11"/>
        <v>4.2500180446961619E-2</v>
      </c>
      <c r="O85" s="3"/>
      <c r="P85" s="3"/>
      <c r="Q85" s="3"/>
      <c r="R85" s="3"/>
      <c r="S85" s="3"/>
    </row>
    <row r="86" spans="1:19" ht="18">
      <c r="A86" s="3"/>
      <c r="B86" s="3"/>
      <c r="C86" s="3"/>
      <c r="D86" s="105">
        <f>($G37*D$72+$H37*D$73)/100</f>
        <v>0.46758282175490767</v>
      </c>
      <c r="E86" s="98">
        <f>($G37*E$72+$H37*E$73)/100</f>
        <v>1.715558883699928</v>
      </c>
      <c r="F86" s="98">
        <f>($G37*F$72+$H37*F$73)/100</f>
        <v>0.46758282175490767</v>
      </c>
      <c r="G86" s="98">
        <f>($G37*G$72+$H37*G$73)/100</f>
        <v>1.715558883699928</v>
      </c>
      <c r="H86" s="98">
        <f>($G37*H$72+$H37*H$73)/100</f>
        <v>0.46758282175490767</v>
      </c>
      <c r="I86" s="98">
        <f>($G37*I$72+$H37*I$73)/100</f>
        <v>84.913963013367962</v>
      </c>
      <c r="J86" s="98">
        <f>($G37*J$72+$H37*J$73)/100</f>
        <v>0.46758282175490767</v>
      </c>
      <c r="K86" s="98">
        <f>($G37*K$72+$H37*K$73)/100</f>
        <v>0.46758282175490767</v>
      </c>
      <c r="L86" s="98">
        <f>($G37*L$72+$H37*L$73)/100</f>
        <v>0.46758282175490767</v>
      </c>
      <c r="M86" s="106">
        <f>($G37*M$72+$H37*M$73)/100</f>
        <v>23.846723909500291</v>
      </c>
      <c r="N86" s="110">
        <f t="shared" si="11"/>
        <v>4.1751827819327889E-2</v>
      </c>
      <c r="O86" s="3"/>
      <c r="P86" s="3"/>
      <c r="Q86" s="3"/>
      <c r="R86" s="3"/>
      <c r="S86" s="3"/>
    </row>
    <row r="87" spans="1:19" ht="18">
      <c r="A87" s="3"/>
      <c r="B87" s="3"/>
      <c r="C87" s="3"/>
      <c r="D87" s="105">
        <f>($G38*D$72+$H38*D$73)/100</f>
        <v>0.51434110393039856</v>
      </c>
      <c r="E87" s="98">
        <f>($G38*E$72+$H38*E$73)/100</f>
        <v>1.7207179638105849</v>
      </c>
      <c r="F87" s="98">
        <f>($G38*F$72+$H38*F$73)/100</f>
        <v>0.51434110393039856</v>
      </c>
      <c r="G87" s="98">
        <f>($G38*G$72+$H38*G$73)/100</f>
        <v>1.7207179638105849</v>
      </c>
      <c r="H87" s="98">
        <f>($G38*H$72+$H38*H$73)/100</f>
        <v>0.51434110393039856</v>
      </c>
      <c r="I87" s="98">
        <f>($G38*I$72+$H38*I$73)/100</f>
        <v>82.145841955823016</v>
      </c>
      <c r="J87" s="98">
        <f>($G38*J$72+$H38*J$73)/100</f>
        <v>0.51434110393039856</v>
      </c>
      <c r="K87" s="98">
        <f>($G38*K$72+$H38*K$73)/100</f>
        <v>0.51434110393039856</v>
      </c>
      <c r="L87" s="98">
        <f>($G38*L$72+$H38*L$73)/100</f>
        <v>0.51434110393039856</v>
      </c>
      <c r="M87" s="106">
        <f>($G38*M$72+$H38*M$73)/100</f>
        <v>26.231396300450328</v>
      </c>
      <c r="N87" s="110">
        <f t="shared" si="11"/>
        <v>4.1018923072112565E-2</v>
      </c>
      <c r="O87" s="3"/>
      <c r="P87" s="3"/>
      <c r="Q87" s="3"/>
      <c r="R87" s="3"/>
      <c r="S87" s="3"/>
    </row>
    <row r="88" spans="1:19" ht="18">
      <c r="A88" s="3"/>
      <c r="B88" s="3"/>
      <c r="C88" s="3"/>
      <c r="D88" s="105">
        <f>($G39*D$72+$H39*D$73)/100</f>
        <v>0.56109938610588939</v>
      </c>
      <c r="E88" s="98">
        <f>($G39*E$72+$H39*E$73)/100</f>
        <v>1.7258770439212419</v>
      </c>
      <c r="F88" s="98">
        <f>($G39*F$72+$H39*F$73)/100</f>
        <v>0.56109938610588939</v>
      </c>
      <c r="G88" s="98">
        <f>($G39*G$72+$H39*G$73)/100</f>
        <v>1.7258770439212419</v>
      </c>
      <c r="H88" s="98">
        <f>($G39*H$72+$H39*H$73)/100</f>
        <v>0.56109938610588939</v>
      </c>
      <c r="I88" s="98">
        <f>($G39*I$72+$H39*I$73)/100</f>
        <v>79.377720898278056</v>
      </c>
      <c r="J88" s="98">
        <f>($G39*J$72+$H39*J$73)/100</f>
        <v>0.56109938610588939</v>
      </c>
      <c r="K88" s="98">
        <f>($G39*K$72+$H39*K$73)/100</f>
        <v>0.56109938610588939</v>
      </c>
      <c r="L88" s="98">
        <f>($G39*L$72+$H39*L$73)/100</f>
        <v>0.56109938610588939</v>
      </c>
      <c r="M88" s="106">
        <f>($G39*M$72+$H39*M$73)/100</f>
        <v>28.616068691400361</v>
      </c>
      <c r="N88" s="110">
        <f t="shared" si="11"/>
        <v>4.0301073840974679E-2</v>
      </c>
      <c r="O88" s="3"/>
      <c r="P88" s="3"/>
      <c r="Q88" s="3"/>
      <c r="R88" s="3"/>
      <c r="S88" s="3"/>
    </row>
    <row r="89" spans="1:19" ht="18">
      <c r="A89" s="3"/>
      <c r="B89" s="3"/>
      <c r="C89" s="3"/>
      <c r="D89" s="105">
        <f>($G40*D$72+$H40*D$73)/100</f>
        <v>0.6078576682813801</v>
      </c>
      <c r="E89" s="98">
        <f>($G40*E$72+$H40*E$73)/100</f>
        <v>1.7310361240318985</v>
      </c>
      <c r="F89" s="98">
        <f>($G40*F$72+$H40*F$73)/100</f>
        <v>0.6078576682813801</v>
      </c>
      <c r="G89" s="98">
        <f>($G40*G$72+$H40*G$73)/100</f>
        <v>1.7310361240318985</v>
      </c>
      <c r="H89" s="98">
        <f>($G40*H$72+$H40*H$73)/100</f>
        <v>0.6078576682813801</v>
      </c>
      <c r="I89" s="98">
        <f>($G40*I$72+$H40*I$73)/100</f>
        <v>76.609599840733111</v>
      </c>
      <c r="J89" s="98">
        <f>($G40*J$72+$H40*J$73)/100</f>
        <v>0.6078576682813801</v>
      </c>
      <c r="K89" s="98">
        <f>($G40*K$72+$H40*K$73)/100</f>
        <v>0.6078576682813801</v>
      </c>
      <c r="L89" s="98">
        <f>($G40*L$72+$H40*L$73)/100</f>
        <v>0.6078576682813801</v>
      </c>
      <c r="M89" s="106">
        <f>($G40*M$72+$H40*M$73)/100</f>
        <v>31.000741082350384</v>
      </c>
      <c r="N89" s="110">
        <f t="shared" si="11"/>
        <v>3.9597897316322753E-2</v>
      </c>
      <c r="O89" s="3"/>
      <c r="P89" s="3"/>
      <c r="Q89" s="3"/>
      <c r="R89" s="3"/>
      <c r="S89" s="3"/>
    </row>
    <row r="90" spans="1:19" ht="18">
      <c r="A90" s="3"/>
      <c r="B90" s="3"/>
      <c r="C90" s="3"/>
      <c r="D90" s="105">
        <f>($G41*D$72+$H41*D$73)/100</f>
        <v>0.65461595045687093</v>
      </c>
      <c r="E90" s="98">
        <f>($G41*E$72+$H41*E$73)/100</f>
        <v>1.736195204142555</v>
      </c>
      <c r="F90" s="98">
        <f>($G41*F$72+$H41*F$73)/100</f>
        <v>0.65461595045687093</v>
      </c>
      <c r="G90" s="98">
        <f>($G41*G$72+$H41*G$73)/100</f>
        <v>1.736195204142555</v>
      </c>
      <c r="H90" s="98">
        <f>($G41*H$72+$H41*H$73)/100</f>
        <v>0.65461595045687093</v>
      </c>
      <c r="I90" s="98">
        <f>($G41*I$72+$H41*I$73)/100</f>
        <v>73.841478783188165</v>
      </c>
      <c r="J90" s="98">
        <f>($G41*J$72+$H41*J$73)/100</f>
        <v>0.65461595045687093</v>
      </c>
      <c r="K90" s="98">
        <f>($G41*K$72+$H41*K$73)/100</f>
        <v>0.65461595045687093</v>
      </c>
      <c r="L90" s="98">
        <f>($G41*L$72+$H41*L$73)/100</f>
        <v>0.65461595045687093</v>
      </c>
      <c r="M90" s="106">
        <f>($G41*M$72+$H41*M$73)/100</f>
        <v>33.385413473300417</v>
      </c>
      <c r="N90" s="110">
        <f t="shared" si="11"/>
        <v>3.8909020169523675E-2</v>
      </c>
      <c r="O90" s="3"/>
      <c r="P90" s="3"/>
      <c r="Q90" s="3"/>
      <c r="R90" s="3"/>
      <c r="S90" s="3"/>
    </row>
    <row r="91" spans="1:19" ht="18">
      <c r="A91" s="3"/>
      <c r="B91" s="3"/>
      <c r="C91" s="3"/>
      <c r="D91" s="105">
        <f>($G42*D$72+$H42*D$73)/100</f>
        <v>0.70137423263236187</v>
      </c>
      <c r="E91" s="98">
        <f>($G42*E$72+$H42*E$73)/100</f>
        <v>1.7413542842532121</v>
      </c>
      <c r="F91" s="98">
        <f>($G42*F$72+$H42*F$73)/100</f>
        <v>0.70137423263236187</v>
      </c>
      <c r="G91" s="98">
        <f>($G42*G$72+$H42*G$73)/100</f>
        <v>1.7413542842532121</v>
      </c>
      <c r="H91" s="98">
        <f>($G42*H$72+$H42*H$73)/100</f>
        <v>0.70137423263236187</v>
      </c>
      <c r="I91" s="98">
        <f>($G42*I$72+$H42*I$73)/100</f>
        <v>71.073357725643234</v>
      </c>
      <c r="J91" s="98">
        <f>($G42*J$72+$H42*J$73)/100</f>
        <v>0.70137423263236187</v>
      </c>
      <c r="K91" s="98">
        <f>($G42*K$72+$H42*K$73)/100</f>
        <v>0.70137423263236187</v>
      </c>
      <c r="L91" s="98">
        <f>($G42*L$72+$H42*L$73)/100</f>
        <v>0.70137423263236187</v>
      </c>
      <c r="M91" s="106">
        <f>($G42*M$72+$H42*M$73)/100</f>
        <v>35.770085864250454</v>
      </c>
      <c r="N91" s="110">
        <f t="shared" si="11"/>
        <v>3.8234078460469847E-2</v>
      </c>
      <c r="O91" s="3"/>
      <c r="P91" s="3"/>
      <c r="Q91" s="3"/>
      <c r="R91" s="3"/>
      <c r="S91" s="3"/>
    </row>
    <row r="92" spans="1:19" ht="18">
      <c r="A92" s="3"/>
      <c r="B92" s="3"/>
      <c r="C92" s="3"/>
      <c r="D92" s="105">
        <f>($G43*D$72+$H43*D$73)/100</f>
        <v>0.74813251480785259</v>
      </c>
      <c r="E92" s="98">
        <f>($G43*E$72+$H43*E$73)/100</f>
        <v>1.7465133643638686</v>
      </c>
      <c r="F92" s="98">
        <f>($G43*F$72+$H43*F$73)/100</f>
        <v>0.74813251480785259</v>
      </c>
      <c r="G92" s="98">
        <f>($G43*G$72+$H43*G$73)/100</f>
        <v>1.7465133643638686</v>
      </c>
      <c r="H92" s="98">
        <f>($G43*H$72+$H43*H$73)/100</f>
        <v>0.74813251480785259</v>
      </c>
      <c r="I92" s="98">
        <f>($G43*I$72+$H43*I$73)/100</f>
        <v>68.30523666809826</v>
      </c>
      <c r="J92" s="98">
        <f>($G43*J$72+$H43*J$73)/100</f>
        <v>0.74813251480785259</v>
      </c>
      <c r="K92" s="98">
        <f>($G43*K$72+$H43*K$73)/100</f>
        <v>0.74813251480785259</v>
      </c>
      <c r="L92" s="98">
        <f>($G43*L$72+$H43*L$73)/100</f>
        <v>0.74813251480785259</v>
      </c>
      <c r="M92" s="106">
        <f>($G43*M$72+$H43*M$73)/100</f>
        <v>38.154758255200484</v>
      </c>
      <c r="N92" s="110">
        <f t="shared" si="11"/>
        <v>3.7572717528809335E-2</v>
      </c>
      <c r="O92" s="3"/>
      <c r="P92" s="3"/>
      <c r="Q92" s="3"/>
      <c r="R92" s="3"/>
      <c r="S92" s="3"/>
    </row>
    <row r="93" spans="1:19" ht="18">
      <c r="A93" s="3"/>
      <c r="B93" s="3"/>
      <c r="C93" s="3"/>
      <c r="D93" s="105">
        <f>($G44*D$72+$H44*D$73)/100</f>
        <v>0.79489079698334342</v>
      </c>
      <c r="E93" s="98">
        <f>($G44*E$72+$H44*E$73)/100</f>
        <v>1.7516724444745255</v>
      </c>
      <c r="F93" s="98">
        <f>($G44*F$72+$H44*F$73)/100</f>
        <v>0.79489079698334342</v>
      </c>
      <c r="G93" s="98">
        <f>($G44*G$72+$H44*G$73)/100</f>
        <v>1.7516724444745255</v>
      </c>
      <c r="H93" s="98">
        <f>($G44*H$72+$H44*H$73)/100</f>
        <v>0.79489079698334342</v>
      </c>
      <c r="I93" s="98">
        <f>($G44*I$72+$H44*I$73)/100</f>
        <v>65.537115610553343</v>
      </c>
      <c r="J93" s="98">
        <f>($G44*J$72+$H44*J$73)/100</f>
        <v>0.79489079698334342</v>
      </c>
      <c r="K93" s="98">
        <f>($G44*K$72+$H44*K$73)/100</f>
        <v>0.79489079698334342</v>
      </c>
      <c r="L93" s="98">
        <f>($G44*L$72+$H44*L$73)/100</f>
        <v>0.79489079698334342</v>
      </c>
      <c r="M93" s="106">
        <f>($G44*M$72+$H44*M$73)/100</f>
        <v>40.539430646150514</v>
      </c>
      <c r="N93" s="110">
        <f t="shared" si="11"/>
        <v>3.6924591870958159E-2</v>
      </c>
      <c r="O93" s="3"/>
      <c r="P93" s="3"/>
      <c r="Q93" s="3"/>
      <c r="R93" s="3"/>
      <c r="S93" s="3"/>
    </row>
    <row r="94" spans="1:19" ht="18">
      <c r="A94" s="3"/>
      <c r="B94" s="3"/>
      <c r="C94" s="3"/>
      <c r="D94" s="105">
        <f>($G45*D$72+$H45*D$73)/100</f>
        <v>0.84164907915883436</v>
      </c>
      <c r="E94" s="98">
        <f>($G45*E$72+$H45*E$73)/100</f>
        <v>1.7568315245851824</v>
      </c>
      <c r="F94" s="98">
        <f>($G45*F$72+$H45*F$73)/100</f>
        <v>0.84164907915883436</v>
      </c>
      <c r="G94" s="98">
        <f>($G45*G$72+$H45*G$73)/100</f>
        <v>1.7568315245851824</v>
      </c>
      <c r="H94" s="98">
        <f>($G45*H$72+$H45*H$73)/100</f>
        <v>0.84164907915883436</v>
      </c>
      <c r="I94" s="98">
        <f>($G45*I$72+$H45*I$73)/100</f>
        <v>62.768994553008376</v>
      </c>
      <c r="J94" s="98">
        <f>($G45*J$72+$H45*J$73)/100</f>
        <v>0.84164907915883436</v>
      </c>
      <c r="K94" s="98">
        <f>($G45*K$72+$H45*K$73)/100</f>
        <v>0.84164907915883436</v>
      </c>
      <c r="L94" s="98">
        <f>($G45*L$72+$H45*L$73)/100</f>
        <v>0.84164907915883436</v>
      </c>
      <c r="M94" s="106">
        <f>($G45*M$72+$H45*M$73)/100</f>
        <v>42.924103037100551</v>
      </c>
      <c r="N94" s="110">
        <f t="shared" si="11"/>
        <v>3.6289365004833561E-2</v>
      </c>
      <c r="O94" s="3"/>
      <c r="P94" s="3"/>
      <c r="Q94" s="3"/>
      <c r="R94" s="3"/>
      <c r="S94" s="3"/>
    </row>
    <row r="95" spans="1:19" ht="18">
      <c r="A95" s="3"/>
      <c r="B95" s="3"/>
      <c r="C95" s="3"/>
      <c r="D95" s="105">
        <f>($G46*D$72+$H46*D$73)/100</f>
        <v>0.88840736133432496</v>
      </c>
      <c r="E95" s="98">
        <f>($G46*E$72+$H46*E$73)/100</f>
        <v>1.7619906046958391</v>
      </c>
      <c r="F95" s="98">
        <f>($G46*F$72+$H46*F$73)/100</f>
        <v>0.88840736133432496</v>
      </c>
      <c r="G95" s="98">
        <f>($G46*G$72+$H46*G$73)/100</f>
        <v>1.7619906046958391</v>
      </c>
      <c r="H95" s="98">
        <f>($G46*H$72+$H46*H$73)/100</f>
        <v>0.88840736133432496</v>
      </c>
      <c r="I95" s="98">
        <f>($G46*I$72+$H46*I$73)/100</f>
        <v>60.000873495463438</v>
      </c>
      <c r="J95" s="98">
        <f>($G46*J$72+$H46*J$73)/100</f>
        <v>0.88840736133432496</v>
      </c>
      <c r="K95" s="98">
        <f>($G46*K$72+$H46*K$73)/100</f>
        <v>0.88840736133432496</v>
      </c>
      <c r="L95" s="98">
        <f>($G46*L$72+$H46*L$73)/100</f>
        <v>0.88840736133432496</v>
      </c>
      <c r="M95" s="106">
        <f>($G46*M$72+$H46*M$73)/100</f>
        <v>45.308775428050573</v>
      </c>
      <c r="N95" s="110">
        <f t="shared" si="11"/>
        <v>3.5666709324091231E-2</v>
      </c>
      <c r="O95" s="3"/>
      <c r="P95" s="3"/>
      <c r="Q95" s="3"/>
      <c r="R95" s="3"/>
      <c r="S95" s="3"/>
    </row>
    <row r="96" spans="1:19" ht="18">
      <c r="A96" s="3"/>
      <c r="B96" s="3"/>
      <c r="C96" s="3"/>
      <c r="D96" s="105">
        <f>($G47*D$72+$H47*D$73)/100</f>
        <v>0.93516564350981601</v>
      </c>
      <c r="E96" s="98">
        <f>($G47*E$72+$H47*E$73)/100</f>
        <v>1.7671496848064958</v>
      </c>
      <c r="F96" s="98">
        <f>($G47*F$72+$H47*F$73)/100</f>
        <v>0.93516564350981601</v>
      </c>
      <c r="G96" s="98">
        <f>($G47*G$72+$H47*G$73)/100</f>
        <v>1.7671496848064958</v>
      </c>
      <c r="H96" s="98">
        <f>($G47*H$72+$H47*H$73)/100</f>
        <v>0.93516564350981601</v>
      </c>
      <c r="I96" s="98">
        <f>($G47*I$72+$H47*I$73)/100</f>
        <v>57.232752437918492</v>
      </c>
      <c r="J96" s="98">
        <f>($G47*J$72+$H47*J$73)/100</f>
        <v>0.93516564350981601</v>
      </c>
      <c r="K96" s="98">
        <f>($G47*K$72+$H47*K$73)/100</f>
        <v>0.93516564350981601</v>
      </c>
      <c r="L96" s="98">
        <f>($G47*L$72+$H47*L$73)/100</f>
        <v>0.93516564350981601</v>
      </c>
      <c r="M96" s="106">
        <f>($G47*M$72+$H47*M$73)/100</f>
        <v>47.69344781900061</v>
      </c>
      <c r="N96" s="110">
        <f t="shared" si="11"/>
        <v>3.5056305943478611E-2</v>
      </c>
      <c r="O96" s="3"/>
      <c r="P96" s="3"/>
      <c r="Q96" s="3"/>
      <c r="R96" s="3"/>
      <c r="S96" s="3"/>
    </row>
    <row r="97" spans="1:19" ht="18">
      <c r="A97" s="3"/>
      <c r="B97" s="3"/>
      <c r="C97" s="3"/>
      <c r="D97" s="105">
        <f>($G48*D$72+$H48*D$73)/100</f>
        <v>0.98192392568530662</v>
      </c>
      <c r="E97" s="98">
        <f>($G48*E$72+$H48*E$73)/100</f>
        <v>1.7723087649171527</v>
      </c>
      <c r="F97" s="98">
        <f>($G48*F$72+$H48*F$73)/100</f>
        <v>0.98192392568530662</v>
      </c>
      <c r="G97" s="98">
        <f>($G48*G$72+$H48*G$73)/100</f>
        <v>1.7723087649171527</v>
      </c>
      <c r="H97" s="98">
        <f>($G48*H$72+$H48*H$73)/100</f>
        <v>0.98192392568530662</v>
      </c>
      <c r="I97" s="98">
        <f>($G48*I$72+$H48*I$73)/100</f>
        <v>54.464631380373547</v>
      </c>
      <c r="J97" s="98">
        <f>($G48*J$72+$H48*J$73)/100</f>
        <v>0.98192392568530662</v>
      </c>
      <c r="K97" s="98">
        <f>($G48*K$72+$H48*K$73)/100</f>
        <v>0.98192392568530662</v>
      </c>
      <c r="L97" s="98">
        <f>($G48*L$72+$H48*L$73)/100</f>
        <v>0.98192392568530662</v>
      </c>
      <c r="M97" s="106">
        <f>($G48*M$72+$H48*M$73)/100</f>
        <v>50.07812020995064</v>
      </c>
      <c r="N97" s="110">
        <f t="shared" si="11"/>
        <v>3.4457844536783071E-2</v>
      </c>
      <c r="O97" s="3"/>
      <c r="P97" s="3"/>
      <c r="Q97" s="3"/>
      <c r="R97" s="3"/>
      <c r="S97" s="3"/>
    </row>
    <row r="98" spans="1:19" ht="18">
      <c r="A98" s="3"/>
      <c r="B98" s="3"/>
      <c r="C98" s="3"/>
      <c r="D98" s="105">
        <f>($G49*D$72+$H49*D$73)/100</f>
        <v>1.0286822078607976</v>
      </c>
      <c r="E98" s="98">
        <f>($G49*E$72+$H49*E$73)/100</f>
        <v>1.7774678450278094</v>
      </c>
      <c r="F98" s="98">
        <f>($G49*F$72+$H49*F$73)/100</f>
        <v>1.0286822078607976</v>
      </c>
      <c r="G98" s="98">
        <f>($G49*G$72+$H49*G$73)/100</f>
        <v>1.7774678450278094</v>
      </c>
      <c r="H98" s="98">
        <f>($G49*H$72+$H49*H$73)/100</f>
        <v>1.0286822078607976</v>
      </c>
      <c r="I98" s="98">
        <f>($G49*I$72+$H49*I$73)/100</f>
        <v>51.696510322828608</v>
      </c>
      <c r="J98" s="98">
        <f>($G49*J$72+$H49*J$73)/100</f>
        <v>1.0286822078607976</v>
      </c>
      <c r="K98" s="98">
        <f>($G49*K$72+$H49*K$73)/100</f>
        <v>1.0286822078607976</v>
      </c>
      <c r="L98" s="98">
        <f>($G49*L$72+$H49*L$73)/100</f>
        <v>1.0286822078607976</v>
      </c>
      <c r="M98" s="106">
        <f>($G49*M$72+$H49*M$73)/100</f>
        <v>52.462792600900677</v>
      </c>
      <c r="N98" s="110">
        <f t="shared" si="11"/>
        <v>3.3871023168709075E-2</v>
      </c>
      <c r="O98" s="3"/>
      <c r="P98" s="3"/>
      <c r="Q98" s="3"/>
      <c r="R98" s="3"/>
      <c r="S98" s="3"/>
    </row>
    <row r="99" spans="1:19" ht="18">
      <c r="A99" s="3"/>
      <c r="B99" s="3"/>
      <c r="C99" s="3"/>
      <c r="D99" s="105">
        <f>($G50*D$72+$H50*D$73)/100</f>
        <v>1.0754404900362882</v>
      </c>
      <c r="E99" s="98">
        <f>($G50*E$72+$H50*E$73)/100</f>
        <v>1.7826269251384661</v>
      </c>
      <c r="F99" s="98">
        <f>($G50*F$72+$H50*F$73)/100</f>
        <v>1.0754404900362882</v>
      </c>
      <c r="G99" s="98">
        <f>($G50*G$72+$H50*G$73)/100</f>
        <v>1.7826269251384661</v>
      </c>
      <c r="H99" s="98">
        <f>($G50*H$72+$H50*H$73)/100</f>
        <v>1.0754404900362882</v>
      </c>
      <c r="I99" s="98">
        <f>($G50*I$72+$H50*I$73)/100</f>
        <v>48.92838926528367</v>
      </c>
      <c r="J99" s="98">
        <f>($G50*J$72+$H50*J$73)/100</f>
        <v>1.0754404900362882</v>
      </c>
      <c r="K99" s="98">
        <f>($G50*K$72+$H50*K$73)/100</f>
        <v>1.0754404900362882</v>
      </c>
      <c r="L99" s="98">
        <f>($G50*L$72+$H50*L$73)/100</f>
        <v>1.0754404900362882</v>
      </c>
      <c r="M99" s="106">
        <f>($G50*M$72+$H50*M$73)/100</f>
        <v>54.847464991850693</v>
      </c>
      <c r="N99" s="110">
        <f t="shared" si="11"/>
        <v>3.3295548121891644E-2</v>
      </c>
      <c r="O99" s="3"/>
      <c r="P99" s="3"/>
      <c r="Q99" s="3"/>
      <c r="R99" s="3"/>
      <c r="S99" s="3"/>
    </row>
    <row r="100" spans="1:19" ht="18">
      <c r="A100" s="3"/>
      <c r="B100" s="3"/>
      <c r="C100" s="3"/>
      <c r="D100" s="105">
        <f>($G51*D$72+$H51*D$73)/100</f>
        <v>1.1221987722117792</v>
      </c>
      <c r="E100" s="98">
        <f>($G51*E$72+$H51*E$73)/100</f>
        <v>1.787786005249123</v>
      </c>
      <c r="F100" s="98">
        <f>($G51*F$72+$H51*F$73)/100</f>
        <v>1.1221987722117792</v>
      </c>
      <c r="G100" s="98">
        <f>($G51*G$72+$H51*G$73)/100</f>
        <v>1.787786005249123</v>
      </c>
      <c r="H100" s="98">
        <f>($G51*H$72+$H51*H$73)/100</f>
        <v>1.1221987722117792</v>
      </c>
      <c r="I100" s="98">
        <f>($G51*I$72+$H51*I$73)/100</f>
        <v>46.16026820773871</v>
      </c>
      <c r="J100" s="98">
        <f>($G51*J$72+$H51*J$73)/100</f>
        <v>1.1221987722117792</v>
      </c>
      <c r="K100" s="98">
        <f>($G51*K$72+$H51*K$73)/100</f>
        <v>1.1221987722117792</v>
      </c>
      <c r="L100" s="98">
        <f>($G51*L$72+$H51*L$73)/100</f>
        <v>1.1221987722117792</v>
      </c>
      <c r="M100" s="106">
        <f>($G51*M$72+$H51*M$73)/100</f>
        <v>57.232137382800737</v>
      </c>
      <c r="N100" s="110">
        <f t="shared" si="11"/>
        <v>3.2731133720138417E-2</v>
      </c>
      <c r="O100" s="3"/>
      <c r="P100" s="3"/>
      <c r="Q100" s="3"/>
      <c r="R100" s="3"/>
      <c r="S100" s="3"/>
    </row>
    <row r="101" spans="1:19" ht="18">
      <c r="A101" s="3"/>
      <c r="B101" s="3"/>
      <c r="C101" s="3"/>
      <c r="D101" s="105">
        <f>($G52*D$72+$H52*D$73)/100</f>
        <v>1.1689570543872698</v>
      </c>
      <c r="E101" s="98">
        <f>($G52*E$72+$H52*E$73)/100</f>
        <v>1.7929450853597797</v>
      </c>
      <c r="F101" s="98">
        <f>($G52*F$72+$H52*F$73)/100</f>
        <v>1.1689570543872698</v>
      </c>
      <c r="G101" s="98">
        <f>($G52*G$72+$H52*G$73)/100</f>
        <v>1.7929450853597797</v>
      </c>
      <c r="H101" s="98">
        <f>($G52*H$72+$H52*H$73)/100</f>
        <v>1.1689570543872698</v>
      </c>
      <c r="I101" s="98">
        <f>($G52*I$72+$H52*I$73)/100</f>
        <v>43.392147150193772</v>
      </c>
      <c r="J101" s="98">
        <f>($G52*J$72+$H52*J$73)/100</f>
        <v>1.1689570543872698</v>
      </c>
      <c r="K101" s="98">
        <f>($G52*K$72+$H52*K$73)/100</f>
        <v>1.1689570543872698</v>
      </c>
      <c r="L101" s="98">
        <f>($G52*L$72+$H52*L$73)/100</f>
        <v>1.1689570543872698</v>
      </c>
      <c r="M101" s="106">
        <f>($G52*M$72+$H52*M$73)/100</f>
        <v>59.616809773750759</v>
      </c>
      <c r="N101" s="110">
        <f t="shared" si="11"/>
        <v>3.2177502148877823E-2</v>
      </c>
      <c r="O101" s="3"/>
      <c r="P101" s="3"/>
      <c r="Q101" s="3"/>
      <c r="R101" s="3"/>
      <c r="S101" s="3"/>
    </row>
    <row r="102" spans="1:19" ht="18">
      <c r="A102" s="3"/>
      <c r="B102" s="3"/>
      <c r="C102" s="3"/>
      <c r="D102" s="105">
        <f>($G53*D$72+$H53*D$73)/100</f>
        <v>1.2157153365627609</v>
      </c>
      <c r="E102" s="98">
        <f>($G53*E$72+$H53*E$73)/100</f>
        <v>1.7981041654704368</v>
      </c>
      <c r="F102" s="98">
        <f>($G53*F$72+$H53*F$73)/100</f>
        <v>1.2157153365627609</v>
      </c>
      <c r="G102" s="98">
        <f>($G53*G$72+$H53*G$73)/100</f>
        <v>1.7981041654704368</v>
      </c>
      <c r="H102" s="98">
        <f>($G53*H$72+$H53*H$73)/100</f>
        <v>1.2157153365627609</v>
      </c>
      <c r="I102" s="98">
        <f>($G53*I$72+$H53*I$73)/100</f>
        <v>40.624026092648826</v>
      </c>
      <c r="J102" s="98">
        <f>($G53*J$72+$H53*J$73)/100</f>
        <v>1.2157153365627609</v>
      </c>
      <c r="K102" s="98">
        <f>($G53*K$72+$H53*K$73)/100</f>
        <v>1.2157153365627609</v>
      </c>
      <c r="L102" s="98">
        <f>($G53*L$72+$H53*L$73)/100</f>
        <v>1.2157153365627609</v>
      </c>
      <c r="M102" s="106">
        <f>($G53*M$72+$H53*M$73)/100</f>
        <v>62.001482164700803</v>
      </c>
      <c r="N102" s="110">
        <f t="shared" si="11"/>
        <v>3.1634383273694021E-2</v>
      </c>
      <c r="O102" s="3"/>
      <c r="P102" s="3"/>
      <c r="Q102" s="3"/>
      <c r="R102" s="3"/>
      <c r="S102" s="3"/>
    </row>
    <row r="103" spans="1:19" ht="18">
      <c r="A103" s="3"/>
      <c r="B103" s="3"/>
      <c r="C103" s="3"/>
      <c r="D103" s="105">
        <f>($G54*D$72+$H54*D$73)/100</f>
        <v>1.2624736187382517</v>
      </c>
      <c r="E103" s="98">
        <f>($G54*E$72+$H54*E$73)/100</f>
        <v>1.8032632455810933</v>
      </c>
      <c r="F103" s="98">
        <f>($G54*F$72+$H54*F$73)/100</f>
        <v>1.2624736187382517</v>
      </c>
      <c r="G103" s="98">
        <f>($G54*G$72+$H54*G$73)/100</f>
        <v>1.8032632455810933</v>
      </c>
      <c r="H103" s="98">
        <f>($G54*H$72+$H54*H$73)/100</f>
        <v>1.2624736187382517</v>
      </c>
      <c r="I103" s="98">
        <f>($G54*I$72+$H54*I$73)/100</f>
        <v>37.855905035103866</v>
      </c>
      <c r="J103" s="98">
        <f>($G54*J$72+$H54*J$73)/100</f>
        <v>1.2624736187382517</v>
      </c>
      <c r="K103" s="98">
        <f>($G54*K$72+$H54*K$73)/100</f>
        <v>1.2624736187382517</v>
      </c>
      <c r="L103" s="98">
        <f>($G54*L$72+$H54*L$73)/100</f>
        <v>1.2624736187382517</v>
      </c>
      <c r="M103" s="106">
        <f>($G54*M$72+$H54*M$73)/100</f>
        <v>64.386154555650833</v>
      </c>
      <c r="N103" s="110">
        <f t="shared" si="11"/>
        <v>3.1101514457732026E-2</v>
      </c>
      <c r="O103" s="3"/>
      <c r="P103" s="3"/>
      <c r="Q103" s="3"/>
      <c r="R103" s="3"/>
      <c r="S103" s="3"/>
    </row>
    <row r="104" spans="1:19" ht="18">
      <c r="A104" s="3"/>
      <c r="B104" s="3"/>
      <c r="C104" s="3"/>
      <c r="D104" s="105">
        <f>($G55*D$72+$H55*D$73)/100</f>
        <v>1.3092319009137423</v>
      </c>
      <c r="E104" s="98">
        <f>($G55*E$72+$H55*E$73)/100</f>
        <v>1.80842232569175</v>
      </c>
      <c r="F104" s="98">
        <f>($G55*F$72+$H55*F$73)/100</f>
        <v>1.3092319009137423</v>
      </c>
      <c r="G104" s="98">
        <f>($G55*G$72+$H55*G$73)/100</f>
        <v>1.80842232569175</v>
      </c>
      <c r="H104" s="98">
        <f>($G55*H$72+$H55*H$73)/100</f>
        <v>1.3092319009137423</v>
      </c>
      <c r="I104" s="98">
        <f>($G55*I$72+$H55*I$73)/100</f>
        <v>35.087783977558928</v>
      </c>
      <c r="J104" s="98">
        <f>($G55*J$72+$H55*J$73)/100</f>
        <v>1.3092319009137423</v>
      </c>
      <c r="K104" s="98">
        <f>($G55*K$72+$H55*K$73)/100</f>
        <v>1.3092319009137423</v>
      </c>
      <c r="L104" s="98">
        <f>($G55*L$72+$H55*L$73)/100</f>
        <v>1.3092319009137423</v>
      </c>
      <c r="M104" s="106">
        <f>($G55*M$72+$H55*M$73)/100</f>
        <v>66.770826946600863</v>
      </c>
      <c r="N104" s="110">
        <f t="shared" si="11"/>
        <v>3.0578640378672792E-2</v>
      </c>
      <c r="O104" s="3"/>
      <c r="P104" s="3"/>
      <c r="Q104" s="3"/>
      <c r="R104" s="3"/>
      <c r="S104" s="3"/>
    </row>
    <row r="105" spans="1:19" ht="18">
      <c r="A105" s="3"/>
      <c r="B105" s="3"/>
      <c r="C105" s="3"/>
      <c r="D105" s="105">
        <f>($G56*D$72+$H56*D$73)/100</f>
        <v>1.3559901830892331</v>
      </c>
      <c r="E105" s="98">
        <f>($G56*E$72+$H56*E$73)/100</f>
        <v>1.8135814058024067</v>
      </c>
      <c r="F105" s="98">
        <f>($G56*F$72+$H56*F$73)/100</f>
        <v>1.3559901830892331</v>
      </c>
      <c r="G105" s="98">
        <f>($G56*G$72+$H56*G$73)/100</f>
        <v>1.8135814058024067</v>
      </c>
      <c r="H105" s="98">
        <f>($G56*H$72+$H56*H$73)/100</f>
        <v>1.3559901830892331</v>
      </c>
      <c r="I105" s="98">
        <f>($G56*I$72+$H56*I$73)/100</f>
        <v>32.319662920013975</v>
      </c>
      <c r="J105" s="98">
        <f>($G56*J$72+$H56*J$73)/100</f>
        <v>1.3559901830892331</v>
      </c>
      <c r="K105" s="98">
        <f>($G56*K$72+$H56*K$73)/100</f>
        <v>1.3559901830892331</v>
      </c>
      <c r="L105" s="98">
        <f>($G56*L$72+$H56*L$73)/100</f>
        <v>1.3559901830892331</v>
      </c>
      <c r="M105" s="106">
        <f>($G56*M$72+$H56*M$73)/100</f>
        <v>69.155499337550893</v>
      </c>
      <c r="N105" s="110">
        <f t="shared" si="11"/>
        <v>3.0065512845897958E-2</v>
      </c>
      <c r="O105" s="3"/>
      <c r="P105" s="3"/>
      <c r="Q105" s="3"/>
      <c r="R105" s="3"/>
      <c r="S105" s="3"/>
    </row>
    <row r="106" spans="1:19" ht="18">
      <c r="A106" s="3"/>
      <c r="B106" s="3"/>
      <c r="C106" s="3"/>
      <c r="D106" s="105">
        <f>($G57*D$72+$H57*D$73)/100</f>
        <v>1.402748465264724</v>
      </c>
      <c r="E106" s="98">
        <f>($G57*E$72+$H57*E$73)/100</f>
        <v>1.8187404859130636</v>
      </c>
      <c r="F106" s="98">
        <f>($G57*F$72+$H57*F$73)/100</f>
        <v>1.402748465264724</v>
      </c>
      <c r="G106" s="98">
        <f>($G57*G$72+$H57*G$73)/100</f>
        <v>1.8187404859130636</v>
      </c>
      <c r="H106" s="98">
        <f>($G57*H$72+$H57*H$73)/100</f>
        <v>1.402748465264724</v>
      </c>
      <c r="I106" s="98">
        <f>($G57*I$72+$H57*I$73)/100</f>
        <v>29.55154186246904</v>
      </c>
      <c r="J106" s="98">
        <f>($G57*J$72+$H57*J$73)/100</f>
        <v>1.402748465264724</v>
      </c>
      <c r="K106" s="98">
        <f>($G57*K$72+$H57*K$73)/100</f>
        <v>1.402748465264724</v>
      </c>
      <c r="L106" s="98">
        <f>($G57*L$72+$H57*L$73)/100</f>
        <v>1.402748465264724</v>
      </c>
      <c r="M106" s="106">
        <f>($G57*M$72+$H57*M$73)/100</f>
        <v>71.540171728500923</v>
      </c>
      <c r="N106" s="110">
        <f t="shared" si="11"/>
        <v>2.956189061839205E-2</v>
      </c>
      <c r="O106" s="3"/>
      <c r="P106" s="3"/>
      <c r="Q106" s="3"/>
      <c r="R106" s="3"/>
      <c r="S106" s="3"/>
    </row>
    <row r="107" spans="1:19" ht="18">
      <c r="A107" s="3"/>
      <c r="B107" s="3"/>
      <c r="C107" s="3"/>
      <c r="D107" s="105">
        <f>($G58*D$72+$H58*D$73)/100</f>
        <v>1.4495067474402148</v>
      </c>
      <c r="E107" s="98">
        <f>($G58*E$72+$H58*E$73)/100</f>
        <v>1.8238995660237203</v>
      </c>
      <c r="F107" s="98">
        <f>($G58*F$72+$H58*F$73)/100</f>
        <v>1.4495067474402148</v>
      </c>
      <c r="G107" s="98">
        <f>($G58*G$72+$H58*G$73)/100</f>
        <v>1.8238995660237203</v>
      </c>
      <c r="H107" s="98">
        <f>($G58*H$72+$H58*H$73)/100</f>
        <v>1.4495067474402148</v>
      </c>
      <c r="I107" s="98">
        <f>($G58*I$72+$H58*I$73)/100</f>
        <v>26.783420804924091</v>
      </c>
      <c r="J107" s="98">
        <f>($G58*J$72+$H58*J$73)/100</f>
        <v>1.4495067474402148</v>
      </c>
      <c r="K107" s="98">
        <f>($G58*K$72+$H58*K$73)/100</f>
        <v>1.4495067474402148</v>
      </c>
      <c r="L107" s="98">
        <f>($G58*L$72+$H58*L$73)/100</f>
        <v>1.4495067474402148</v>
      </c>
      <c r="M107" s="106">
        <f>($G58*M$72+$H58*M$73)/100</f>
        <v>73.924844119450952</v>
      </c>
      <c r="N107" s="110">
        <f t="shared" si="11"/>
        <v>2.9067539223863331E-2</v>
      </c>
      <c r="O107" s="3"/>
      <c r="P107" s="3"/>
      <c r="Q107" s="3"/>
      <c r="R107" s="3"/>
      <c r="S107" s="3"/>
    </row>
    <row r="108" spans="1:19" ht="18">
      <c r="A108" s="3"/>
      <c r="B108" s="3"/>
      <c r="C108" s="3"/>
      <c r="D108" s="105">
        <f>($G59*D$72+$H59*D$73)/100</f>
        <v>1.4962650296157058</v>
      </c>
      <c r="E108" s="98">
        <f>($G59*E$72+$H59*E$73)/100</f>
        <v>1.8290586461343772</v>
      </c>
      <c r="F108" s="98">
        <f>($G59*F$72+$H59*F$73)/100</f>
        <v>1.4962650296157058</v>
      </c>
      <c r="G108" s="98">
        <f>($G59*G$72+$H59*G$73)/100</f>
        <v>1.8290586461343772</v>
      </c>
      <c r="H108" s="98">
        <f>($G59*H$72+$H59*H$73)/100</f>
        <v>1.4962650296157058</v>
      </c>
      <c r="I108" s="98">
        <f>($G59*I$72+$H59*I$73)/100</f>
        <v>24.015299747379139</v>
      </c>
      <c r="J108" s="98">
        <f>($G59*J$72+$H59*J$73)/100</f>
        <v>1.4962650296157058</v>
      </c>
      <c r="K108" s="98">
        <f>($G59*K$72+$H59*K$73)/100</f>
        <v>1.4962650296157058</v>
      </c>
      <c r="L108" s="98">
        <f>($G59*L$72+$H59*L$73)/100</f>
        <v>1.4962650296157058</v>
      </c>
      <c r="M108" s="106">
        <f>($G59*M$72+$H59*M$73)/100</f>
        <v>76.309516510400996</v>
      </c>
      <c r="N108" s="110">
        <f t="shared" si="11"/>
        <v>2.858223077950579E-2</v>
      </c>
      <c r="O108" s="3"/>
      <c r="P108" s="3"/>
      <c r="Q108" s="3"/>
      <c r="R108" s="3"/>
      <c r="S108" s="3"/>
    </row>
    <row r="109" spans="1:19" ht="18">
      <c r="A109" s="3"/>
      <c r="B109" s="3"/>
      <c r="C109" s="3"/>
      <c r="D109" s="105">
        <f>($G60*D$72+$H60*D$73)/100</f>
        <v>1.5430233117911967</v>
      </c>
      <c r="E109" s="98">
        <f>($G60*E$72+$H60*E$73)/100</f>
        <v>1.8342177262450343</v>
      </c>
      <c r="F109" s="98">
        <f>($G60*F$72+$H60*F$73)/100</f>
        <v>1.5430233117911967</v>
      </c>
      <c r="G109" s="98">
        <f>($G60*G$72+$H60*G$73)/100</f>
        <v>1.8342177262450343</v>
      </c>
      <c r="H109" s="98">
        <f>($G60*H$72+$H60*H$73)/100</f>
        <v>1.5430233117911967</v>
      </c>
      <c r="I109" s="98">
        <f>($G60*I$72+$H60*I$73)/100</f>
        <v>21.2471786898342</v>
      </c>
      <c r="J109" s="98">
        <f>($G60*J$72+$H60*J$73)/100</f>
        <v>1.5430233117911967</v>
      </c>
      <c r="K109" s="98">
        <f>($G60*K$72+$H60*K$73)/100</f>
        <v>1.5430233117911967</v>
      </c>
      <c r="L109" s="98">
        <f>($G60*L$72+$H60*L$73)/100</f>
        <v>1.5430233117911967</v>
      </c>
      <c r="M109" s="106">
        <f>($G60*M$72+$H60*M$73)/100</f>
        <v>78.69418890135104</v>
      </c>
      <c r="N109" s="110">
        <f t="shared" si="11"/>
        <v>2.8105743814767277E-2</v>
      </c>
      <c r="O109" s="3"/>
      <c r="P109" s="3"/>
      <c r="Q109" s="3"/>
      <c r="R109" s="3"/>
      <c r="S109" s="3"/>
    </row>
    <row r="110" spans="1:19" ht="18">
      <c r="A110" s="3"/>
      <c r="B110" s="3"/>
      <c r="C110" s="3"/>
      <c r="D110" s="105">
        <f>($G61*D$72+$H61*D$73)/100</f>
        <v>1.5897815939666873</v>
      </c>
      <c r="E110" s="98">
        <f>($G61*E$72+$H61*E$73)/100</f>
        <v>1.8393768063556906</v>
      </c>
      <c r="F110" s="98">
        <f>($G61*F$72+$H61*F$73)/100</f>
        <v>1.5897815939666873</v>
      </c>
      <c r="G110" s="98">
        <f>($G61*G$72+$H61*G$73)/100</f>
        <v>1.8393768063556906</v>
      </c>
      <c r="H110" s="98">
        <f>($G61*H$72+$H61*H$73)/100</f>
        <v>1.5897815939666873</v>
      </c>
      <c r="I110" s="98">
        <f>($G61*I$72+$H61*I$73)/100</f>
        <v>18.479057632289244</v>
      </c>
      <c r="J110" s="98">
        <f>($G61*J$72+$H61*J$73)/100</f>
        <v>1.5897815939666873</v>
      </c>
      <c r="K110" s="98">
        <f>($G61*K$72+$H61*K$73)/100</f>
        <v>1.5897815939666873</v>
      </c>
      <c r="L110" s="98">
        <f>($G61*L$72+$H61*L$73)/100</f>
        <v>1.5897815939666873</v>
      </c>
      <c r="M110" s="106">
        <f>($G61*M$72+$H61*M$73)/100</f>
        <v>81.078861292301056</v>
      </c>
      <c r="N110" s="110">
        <f t="shared" si="11"/>
        <v>2.7637863096441978E-2</v>
      </c>
      <c r="O110" s="3"/>
      <c r="P110" s="3"/>
      <c r="Q110" s="3"/>
      <c r="R110" s="3"/>
      <c r="S110" s="3"/>
    </row>
    <row r="111" spans="1:19" ht="18">
      <c r="A111" s="3"/>
      <c r="B111" s="3"/>
      <c r="C111" s="3"/>
      <c r="D111" s="105">
        <f>($G62*D$72+$H62*D$73)/100</f>
        <v>1.6365398761421781</v>
      </c>
      <c r="E111" s="98">
        <f>($G62*E$72+$H62*E$73)/100</f>
        <v>1.8445358864663473</v>
      </c>
      <c r="F111" s="98">
        <f>($G62*F$72+$H62*F$73)/100</f>
        <v>1.6365398761421781</v>
      </c>
      <c r="G111" s="98">
        <f>($G62*G$72+$H62*G$73)/100</f>
        <v>1.8445358864663473</v>
      </c>
      <c r="H111" s="98">
        <f>($G62*H$72+$H62*H$73)/100</f>
        <v>1.6365398761421781</v>
      </c>
      <c r="I111" s="98">
        <f>($G62*I$72+$H62*I$73)/100</f>
        <v>15.710936574744302</v>
      </c>
      <c r="J111" s="98">
        <f>($G62*J$72+$H62*J$73)/100</f>
        <v>1.6365398761421781</v>
      </c>
      <c r="K111" s="98">
        <f>($G62*K$72+$H62*K$73)/100</f>
        <v>1.6365398761421781</v>
      </c>
      <c r="L111" s="98">
        <f>($G62*L$72+$H62*L$73)/100</f>
        <v>1.6365398761421781</v>
      </c>
      <c r="M111" s="106">
        <f>($G62*M$72+$H62*M$73)/100</f>
        <v>83.463533683251086</v>
      </c>
      <c r="N111" s="110">
        <f t="shared" si="11"/>
        <v>2.7178379456358554E-2</v>
      </c>
      <c r="O111" s="3"/>
      <c r="P111" s="3"/>
      <c r="Q111" s="3"/>
      <c r="R111" s="3"/>
      <c r="S111" s="3"/>
    </row>
    <row r="112" spans="1:19" ht="18">
      <c r="A112" s="3"/>
      <c r="B112" s="3"/>
      <c r="C112" s="3"/>
      <c r="D112" s="105">
        <f>($G63*D$72+$H63*D$73)/100</f>
        <v>1.6832981583176689</v>
      </c>
      <c r="E112" s="98">
        <f>($G63*E$72+$H63*E$73)/100</f>
        <v>1.8496949665770044</v>
      </c>
      <c r="F112" s="98">
        <f>($G63*F$72+$H63*F$73)/100</f>
        <v>1.6832981583176689</v>
      </c>
      <c r="G112" s="98">
        <f>($G63*G$72+$H63*G$73)/100</f>
        <v>1.8496949665770044</v>
      </c>
      <c r="H112" s="98">
        <f>($G63*H$72+$H63*H$73)/100</f>
        <v>1.6832981583176689</v>
      </c>
      <c r="I112" s="98">
        <f>($G63*I$72+$H63*I$73)/100</f>
        <v>12.942815517199357</v>
      </c>
      <c r="J112" s="98">
        <f>($G63*J$72+$H63*J$73)/100</f>
        <v>1.6832981583176689</v>
      </c>
      <c r="K112" s="98">
        <f>($G63*K$72+$H63*K$73)/100</f>
        <v>1.6832981583176689</v>
      </c>
      <c r="L112" s="98">
        <f>($G63*L$72+$H63*L$73)/100</f>
        <v>1.6832981583176689</v>
      </c>
      <c r="M112" s="106">
        <f>($G63*M$72+$H63*M$73)/100</f>
        <v>85.848206074201116</v>
      </c>
      <c r="N112" s="110">
        <f t="shared" si="11"/>
        <v>2.6727089621894008E-2</v>
      </c>
      <c r="O112" s="3"/>
      <c r="P112" s="3"/>
      <c r="Q112" s="3"/>
      <c r="R112" s="3"/>
      <c r="S112" s="3"/>
    </row>
    <row r="113" spans="1:21" ht="18">
      <c r="A113" s="3"/>
      <c r="B113" s="3"/>
      <c r="C113" s="3"/>
      <c r="D113" s="105">
        <f>($G64*D$72+$H64*D$73)/100</f>
        <v>1.7300564404931598</v>
      </c>
      <c r="E113" s="98">
        <f>($G64*E$72+$H64*E$73)/100</f>
        <v>1.8548540466876611</v>
      </c>
      <c r="F113" s="98">
        <f>($G64*F$72+$H64*F$73)/100</f>
        <v>1.7300564404931598</v>
      </c>
      <c r="G113" s="98">
        <f>($G64*G$72+$H64*G$73)/100</f>
        <v>1.8548540466876611</v>
      </c>
      <c r="H113" s="98">
        <f>($G64*H$72+$H64*H$73)/100</f>
        <v>1.7300564404931598</v>
      </c>
      <c r="I113" s="98">
        <f>($G64*I$72+$H64*I$73)/100</f>
        <v>10.174694459654409</v>
      </c>
      <c r="J113" s="98">
        <f>($G64*J$72+$H64*J$73)/100</f>
        <v>1.7300564404931598</v>
      </c>
      <c r="K113" s="98">
        <f>($G64*K$72+$H64*K$73)/100</f>
        <v>1.7300564404931598</v>
      </c>
      <c r="L113" s="98">
        <f>($G64*L$72+$H64*L$73)/100</f>
        <v>1.7300564404931598</v>
      </c>
      <c r="M113" s="106">
        <f>($G64*M$72+$H64*M$73)/100</f>
        <v>88.232878465151146</v>
      </c>
      <c r="N113" s="110">
        <f t="shared" si="11"/>
        <v>2.6283796049508392E-2</v>
      </c>
      <c r="O113" s="3"/>
      <c r="P113" s="3"/>
      <c r="Q113" s="3"/>
      <c r="R113" s="3"/>
      <c r="S113" s="3"/>
    </row>
    <row r="114" spans="1:21" ht="18">
      <c r="A114" s="3"/>
      <c r="B114" s="3"/>
      <c r="C114" s="3"/>
      <c r="D114" s="105">
        <f>($G65*D$72+$H65*D$73)/100</f>
        <v>1.7768147226686508</v>
      </c>
      <c r="E114" s="98">
        <f>($G65*E$72+$H65*E$73)/100</f>
        <v>1.8600131267983182</v>
      </c>
      <c r="F114" s="98">
        <f>($G65*F$72+$H65*F$73)/100</f>
        <v>1.7768147226686508</v>
      </c>
      <c r="G114" s="98">
        <f>($G65*G$72+$H65*G$73)/100</f>
        <v>1.8600131267983182</v>
      </c>
      <c r="H114" s="98">
        <f>($G65*H$72+$H65*H$73)/100</f>
        <v>1.7768147226686508</v>
      </c>
      <c r="I114" s="98">
        <f>($G65*I$72+$H65*I$73)/100</f>
        <v>7.4065734021094611</v>
      </c>
      <c r="J114" s="98">
        <f>($G65*J$72+$H65*J$73)/100</f>
        <v>1.7768147226686508</v>
      </c>
      <c r="K114" s="98">
        <f>($G65*K$72+$H65*K$73)/100</f>
        <v>1.7768147226686508</v>
      </c>
      <c r="L114" s="98">
        <f>($G65*L$72+$H65*L$73)/100</f>
        <v>1.7768147226686508</v>
      </c>
      <c r="M114" s="106">
        <f>($G65*M$72+$H65*M$73)/100</f>
        <v>90.61755085610119</v>
      </c>
      <c r="N114" s="110">
        <f t="shared" si="11"/>
        <v>2.5848306761461042E-2</v>
      </c>
      <c r="O114" s="3"/>
      <c r="P114" s="3"/>
      <c r="Q114" s="3"/>
      <c r="R114" s="3"/>
      <c r="S114" s="3"/>
    </row>
    <row r="115" spans="1:21" ht="18">
      <c r="A115" s="3"/>
      <c r="B115" s="3"/>
      <c r="C115" s="3"/>
      <c r="D115" s="105">
        <f>($G66*D$72+$H66*D$73)/100</f>
        <v>1.8235730048441416</v>
      </c>
      <c r="E115" s="98">
        <f>($G66*E$72+$H66*E$73)/100</f>
        <v>1.8651722069089749</v>
      </c>
      <c r="F115" s="98">
        <f>($G66*F$72+$H66*F$73)/100</f>
        <v>1.8235730048441416</v>
      </c>
      <c r="G115" s="98">
        <f>($G66*G$72+$H66*G$73)/100</f>
        <v>1.8651722069089749</v>
      </c>
      <c r="H115" s="98">
        <f>($G66*H$72+$H66*H$73)/100</f>
        <v>1.8235730048441416</v>
      </c>
      <c r="I115" s="98">
        <f>($G66*I$72+$H66*I$73)/100</f>
        <v>4.6384523445645165</v>
      </c>
      <c r="J115" s="98">
        <f>($G66*J$72+$H66*J$73)/100</f>
        <v>1.8235730048441416</v>
      </c>
      <c r="K115" s="98">
        <f>($G66*K$72+$H66*K$73)/100</f>
        <v>1.8235730048441416</v>
      </c>
      <c r="L115" s="98">
        <f>($G66*L$72+$H66*L$73)/100</f>
        <v>1.8235730048441416</v>
      </c>
      <c r="M115" s="106">
        <f>($G66*M$72+$H66*M$73)/100</f>
        <v>93.002223247051219</v>
      </c>
      <c r="N115" s="110">
        <f t="shared" si="11"/>
        <v>2.5420435185838572E-2</v>
      </c>
      <c r="O115" s="3"/>
      <c r="P115" s="3"/>
      <c r="Q115" s="3"/>
      <c r="R115" s="3"/>
      <c r="S115" s="3"/>
    </row>
    <row r="116" spans="1:21" ht="19" thickBot="1">
      <c r="A116" s="3"/>
      <c r="B116" s="3"/>
      <c r="C116" s="3"/>
      <c r="D116" s="107">
        <f>($G67*D$72+$H67*D$73)/100</f>
        <v>1.870331287019632</v>
      </c>
      <c r="E116" s="108">
        <f>($G67*E$72+$H67*E$73)/100</f>
        <v>1.870331287019632</v>
      </c>
      <c r="F116" s="108">
        <f>($G67*F$72+$H67*F$73)/100</f>
        <v>1.870331287019632</v>
      </c>
      <c r="G116" s="108">
        <f>($G67*G$72+$H67*G$73)/100</f>
        <v>1.870331287019632</v>
      </c>
      <c r="H116" s="108">
        <f>($G67*H$72+$H67*H$73)/100</f>
        <v>1.870331287019632</v>
      </c>
      <c r="I116" s="108">
        <f>($G67*I$72+$H67*I$73)/100</f>
        <v>1.870331287019632</v>
      </c>
      <c r="J116" s="108">
        <f>($G67*J$72+$H67*J$73)/100</f>
        <v>1.870331287019632</v>
      </c>
      <c r="K116" s="108">
        <f>($G67*K$72+$H67*K$73)/100</f>
        <v>1.870331287019632</v>
      </c>
      <c r="L116" s="108">
        <f>($G67*L$72+$H67*L$73)/100</f>
        <v>1.870331287019632</v>
      </c>
      <c r="M116" s="109">
        <f>($G67*M$72+$H67*M$73)/100</f>
        <v>95.386895638001221</v>
      </c>
      <c r="N116" s="110">
        <f t="shared" si="11"/>
        <v>2.5000000000000053E-2</v>
      </c>
      <c r="O116" s="3"/>
      <c r="P116" s="3"/>
      <c r="Q116" s="3"/>
      <c r="R116" s="3"/>
      <c r="S116" s="3"/>
    </row>
    <row r="117" spans="1:21" ht="18">
      <c r="A117" s="3"/>
      <c r="B117" s="3"/>
      <c r="C117" s="3"/>
      <c r="D117" s="3"/>
      <c r="E117" s="3"/>
      <c r="F117" s="3"/>
      <c r="G117" s="3"/>
      <c r="H117" s="3"/>
      <c r="I117" s="3"/>
      <c r="J117" s="3"/>
      <c r="K117" s="3"/>
      <c r="L117" s="3"/>
      <c r="M117" s="3"/>
      <c r="N117" s="3"/>
      <c r="O117" s="3"/>
      <c r="P117" s="3"/>
      <c r="Q117" s="3"/>
      <c r="R117" s="3"/>
      <c r="S117" s="3"/>
      <c r="T117" s="3"/>
      <c r="U117" s="3"/>
    </row>
    <row r="118" spans="1:21" ht="18">
      <c r="A118" s="3"/>
      <c r="B118" s="4" t="s">
        <v>41</v>
      </c>
      <c r="C118" s="4" t="s">
        <v>91</v>
      </c>
      <c r="D118" s="55"/>
      <c r="E118" s="55"/>
      <c r="F118" s="55"/>
      <c r="G118" s="55"/>
      <c r="H118" s="55"/>
      <c r="I118" s="55"/>
      <c r="J118" s="55"/>
      <c r="K118" s="14"/>
      <c r="L118" s="3"/>
      <c r="M118" s="3"/>
      <c r="N118" s="3"/>
      <c r="O118" s="3"/>
      <c r="P118" s="3"/>
      <c r="Q118" s="3"/>
      <c r="R118" s="3"/>
      <c r="S118" s="3"/>
      <c r="T118" s="3"/>
      <c r="U118" s="3"/>
    </row>
    <row r="119" spans="1:21" ht="18">
      <c r="A119" s="3"/>
      <c r="B119" s="3"/>
      <c r="C119" s="3"/>
      <c r="D119" s="3"/>
      <c r="E119" s="3"/>
      <c r="F119" s="3"/>
      <c r="G119" s="3"/>
      <c r="H119" s="3"/>
      <c r="I119" s="3"/>
      <c r="J119" s="3"/>
      <c r="K119" s="3"/>
      <c r="L119" s="3"/>
      <c r="M119" s="3"/>
      <c r="N119" s="3"/>
      <c r="O119" s="3"/>
      <c r="P119" s="3"/>
      <c r="Q119" s="3"/>
      <c r="R119" s="3"/>
      <c r="S119" s="3"/>
      <c r="T119" s="3"/>
      <c r="U119" s="3"/>
    </row>
    <row r="120" spans="1:21" ht="18">
      <c r="A120" s="3"/>
      <c r="B120" s="3"/>
      <c r="C120" s="3"/>
      <c r="D120" s="111"/>
      <c r="E120" s="3"/>
      <c r="F120" s="3"/>
      <c r="G120" s="3"/>
      <c r="H120" s="3"/>
      <c r="I120" s="3"/>
      <c r="J120" s="3"/>
      <c r="K120" s="3"/>
      <c r="L120" s="3"/>
      <c r="M120" s="3"/>
      <c r="N120" s="3"/>
      <c r="O120" s="3"/>
      <c r="P120" s="3"/>
      <c r="Q120" s="3"/>
      <c r="R120" s="3"/>
      <c r="S120" s="3"/>
      <c r="T120" s="3"/>
      <c r="U120" s="3"/>
    </row>
    <row r="121" spans="1:21" ht="18">
      <c r="A121" s="3"/>
      <c r="B121" s="3"/>
      <c r="C121" s="3"/>
      <c r="D121" s="3"/>
      <c r="E121" s="3"/>
      <c r="F121" s="3"/>
      <c r="G121" s="3"/>
      <c r="H121" s="3"/>
      <c r="I121" s="3"/>
      <c r="J121" s="3"/>
      <c r="K121" s="3"/>
      <c r="L121" s="3"/>
      <c r="M121" s="3"/>
      <c r="N121" s="3"/>
      <c r="O121" s="3"/>
      <c r="P121" s="3"/>
      <c r="Q121" s="3"/>
      <c r="R121" s="3"/>
      <c r="S121" s="3"/>
      <c r="T121" s="3"/>
      <c r="U121" s="3"/>
    </row>
    <row r="122" spans="1:21" ht="18">
      <c r="A122" s="3"/>
      <c r="B122" s="3"/>
      <c r="C122" s="3"/>
      <c r="D122" s="53" t="s">
        <v>92</v>
      </c>
      <c r="E122" s="53" t="s">
        <v>93</v>
      </c>
      <c r="F122" s="53" t="s">
        <v>98</v>
      </c>
      <c r="G122" s="53" t="s">
        <v>99</v>
      </c>
      <c r="H122" s="3"/>
      <c r="I122" s="3"/>
      <c r="J122" s="3"/>
      <c r="K122" s="3"/>
      <c r="L122" s="3"/>
      <c r="M122" s="3"/>
      <c r="N122" s="3"/>
      <c r="O122" s="3"/>
      <c r="P122" s="3"/>
      <c r="Q122" s="3"/>
      <c r="R122" s="3"/>
      <c r="S122" s="3"/>
      <c r="T122" s="3"/>
      <c r="U122" s="3"/>
    </row>
    <row r="123" spans="1:21" ht="18">
      <c r="A123" s="3"/>
      <c r="B123" s="3"/>
      <c r="C123" s="3"/>
      <c r="D123" s="16">
        <v>4.5978751726296441</v>
      </c>
      <c r="E123" s="16">
        <v>2.5000000000000001E-2</v>
      </c>
      <c r="F123" s="16">
        <v>2.9532874861326626</v>
      </c>
      <c r="G123" s="16">
        <v>0.05</v>
      </c>
      <c r="H123" s="3"/>
      <c r="I123" s="3"/>
      <c r="J123" s="3"/>
      <c r="K123" s="3"/>
      <c r="L123" s="3"/>
      <c r="M123" s="3"/>
      <c r="N123" s="3"/>
      <c r="O123" s="3"/>
      <c r="P123" s="3"/>
      <c r="Q123" s="3"/>
      <c r="R123" s="3"/>
      <c r="S123" s="3"/>
      <c r="T123" s="3"/>
      <c r="U123" s="3"/>
    </row>
    <row r="124" spans="1:21" ht="18">
      <c r="A124" s="3"/>
      <c r="B124" s="3"/>
      <c r="C124" s="3"/>
      <c r="D124" s="16"/>
      <c r="E124" s="16"/>
      <c r="F124" s="16"/>
      <c r="G124" s="16"/>
      <c r="H124" s="3"/>
      <c r="I124" s="3"/>
      <c r="J124" s="3"/>
      <c r="K124" s="3"/>
      <c r="L124" s="3"/>
      <c r="M124" s="3"/>
      <c r="N124" s="3"/>
      <c r="O124" s="3"/>
      <c r="P124" s="3"/>
      <c r="Q124" s="3"/>
      <c r="R124" s="3"/>
      <c r="S124" s="3"/>
      <c r="T124" s="3"/>
      <c r="U124" s="3"/>
    </row>
    <row r="125" spans="1:21" ht="19" thickBot="1">
      <c r="B125" s="3"/>
      <c r="C125" s="53" t="s">
        <v>94</v>
      </c>
      <c r="D125" s="53" t="s">
        <v>95</v>
      </c>
      <c r="E125" s="5" t="s">
        <v>100</v>
      </c>
      <c r="F125" s="5" t="s">
        <v>90</v>
      </c>
      <c r="G125" s="53" t="s">
        <v>101</v>
      </c>
      <c r="H125" s="53" t="s">
        <v>102</v>
      </c>
      <c r="I125" s="3"/>
      <c r="J125" s="3"/>
      <c r="K125" s="3"/>
      <c r="L125" s="3"/>
      <c r="M125" s="3"/>
      <c r="N125" s="3"/>
      <c r="O125" s="3"/>
      <c r="P125" s="3"/>
    </row>
    <row r="126" spans="1:21" ht="18">
      <c r="B126" s="3"/>
      <c r="C126" s="99">
        <v>0</v>
      </c>
      <c r="D126" s="100">
        <v>100</v>
      </c>
      <c r="E126" s="138">
        <f>(C126*$D$123*$E$123+D126*$F$123*$G$123)/(C126*$D$123+D126*$F$123)</f>
        <v>0.05</v>
      </c>
      <c r="F126" s="100">
        <v>4.9999999999999906E-2</v>
      </c>
      <c r="G126" s="115">
        <f>E126-F126</f>
        <v>9.7144514654701197E-17</v>
      </c>
      <c r="H126" s="116">
        <f>(E126-F126)/F126</f>
        <v>1.9428902930940275E-15</v>
      </c>
      <c r="I126" s="3"/>
      <c r="J126" s="3"/>
      <c r="K126" s="3"/>
      <c r="L126" s="3"/>
      <c r="M126" s="3"/>
      <c r="N126" s="3"/>
      <c r="O126" s="3"/>
    </row>
    <row r="127" spans="1:21" ht="18">
      <c r="B127" s="3"/>
      <c r="C127" s="10">
        <v>2.5</v>
      </c>
      <c r="D127" s="11">
        <v>97.5</v>
      </c>
      <c r="E127" s="139">
        <f t="shared" ref="E127:E166" si="12">(C127*$D$123*$E$123+D127*$F$123*$G$123)/(C127*$D$123+D127*$F$123)</f>
        <v>4.9040318630635751E-2</v>
      </c>
      <c r="F127" s="11">
        <v>4.9093379205530731E-2</v>
      </c>
      <c r="G127" s="77">
        <f t="shared" ref="G127:G166" si="13">E127-F127</f>
        <v>-5.3060574894979451E-5</v>
      </c>
      <c r="H127" s="117">
        <f t="shared" ref="H127:H165" si="14">(E127-F127)/F127</f>
        <v>-1.0808091794382282E-3</v>
      </c>
      <c r="I127" s="3"/>
      <c r="J127" s="3"/>
      <c r="K127" s="3"/>
      <c r="L127" s="3"/>
      <c r="M127" s="3"/>
      <c r="N127" s="3"/>
      <c r="O127" s="3"/>
    </row>
    <row r="128" spans="1:21" ht="18">
      <c r="B128" s="3"/>
      <c r="C128" s="10">
        <v>5</v>
      </c>
      <c r="D128" s="11">
        <v>95</v>
      </c>
      <c r="E128" s="139">
        <f t="shared" si="12"/>
        <v>4.810663415455807E-2</v>
      </c>
      <c r="F128" s="11">
        <v>4.8206166906569675E-2</v>
      </c>
      <c r="G128" s="77">
        <f t="shared" si="13"/>
        <v>-9.9532752011605163E-5</v>
      </c>
      <c r="H128" s="117">
        <f t="shared" si="14"/>
        <v>-2.0647306848626573E-3</v>
      </c>
      <c r="I128" s="3"/>
      <c r="J128" s="3"/>
      <c r="K128" s="3"/>
      <c r="L128" s="3"/>
      <c r="M128" s="3"/>
      <c r="N128" s="3"/>
      <c r="O128" s="3"/>
    </row>
    <row r="129" spans="2:16" ht="18">
      <c r="B129" s="3"/>
      <c r="C129" s="10">
        <v>7.5000000000000009</v>
      </c>
      <c r="D129" s="11">
        <v>92.5</v>
      </c>
      <c r="E129" s="139">
        <f t="shared" si="12"/>
        <v>4.7197904340115636E-2</v>
      </c>
      <c r="F129" s="11">
        <v>4.7337885904930495E-2</v>
      </c>
      <c r="G129" s="77">
        <f t="shared" si="13"/>
        <v>-1.3998156481485891E-4</v>
      </c>
      <c r="H129" s="117">
        <f t="shared" si="14"/>
        <v>-2.9570725886657956E-3</v>
      </c>
      <c r="I129" s="3"/>
      <c r="J129" s="3"/>
      <c r="K129" s="3"/>
      <c r="L129" s="3"/>
      <c r="M129" s="3"/>
      <c r="N129" s="3"/>
      <c r="O129" s="3"/>
    </row>
    <row r="130" spans="2:16" ht="18">
      <c r="B130" s="3"/>
      <c r="C130" s="10">
        <v>10</v>
      </c>
      <c r="D130" s="11">
        <v>90</v>
      </c>
      <c r="E130" s="139">
        <f t="shared" si="12"/>
        <v>4.6313141932592429E-2</v>
      </c>
      <c r="F130" s="11">
        <v>4.6488067900265426E-2</v>
      </c>
      <c r="G130" s="77">
        <f t="shared" si="13"/>
        <v>-1.7492596767299667E-4</v>
      </c>
      <c r="H130" s="117">
        <f t="shared" si="14"/>
        <v>-3.7628143214787795E-3</v>
      </c>
      <c r="I130" s="3"/>
      <c r="J130" s="3"/>
      <c r="K130" s="3"/>
      <c r="L130" s="3"/>
      <c r="M130" s="3"/>
      <c r="N130" s="3"/>
      <c r="O130" s="3"/>
    </row>
    <row r="131" spans="2:16" ht="18">
      <c r="B131" s="3"/>
      <c r="C131" s="10">
        <v>12.5</v>
      </c>
      <c r="D131" s="11">
        <v>87.5</v>
      </c>
      <c r="E131" s="139">
        <f t="shared" si="12"/>
        <v>4.5451411076399377E-2</v>
      </c>
      <c r="F131" s="11">
        <v>4.565625372208356E-2</v>
      </c>
      <c r="G131" s="77">
        <f t="shared" si="13"/>
        <v>-2.0484264568418342E-4</v>
      </c>
      <c r="H131" s="117">
        <f t="shared" si="14"/>
        <v>-4.4866284240290761E-3</v>
      </c>
      <c r="I131" s="3"/>
      <c r="J131" s="3"/>
      <c r="K131" s="3"/>
      <c r="L131" s="3"/>
      <c r="M131" s="3"/>
      <c r="N131" s="3"/>
      <c r="O131" s="3"/>
    </row>
    <row r="132" spans="2:16" ht="18">
      <c r="B132" s="3"/>
      <c r="C132" s="10">
        <v>15</v>
      </c>
      <c r="D132" s="11">
        <v>85</v>
      </c>
      <c r="E132" s="139">
        <f t="shared" si="12"/>
        <v>4.4611824013081655E-2</v>
      </c>
      <c r="F132" s="11">
        <v>4.4841993512885481E-2</v>
      </c>
      <c r="G132" s="77">
        <f t="shared" si="13"/>
        <v>-2.3016949980382562E-4</v>
      </c>
      <c r="H132" s="117">
        <f t="shared" si="14"/>
        <v>-5.1329006980406818E-3</v>
      </c>
      <c r="I132" s="3"/>
      <c r="J132" s="3"/>
      <c r="K132" s="3"/>
      <c r="L132" s="3"/>
      <c r="M132" s="3"/>
      <c r="N132" s="3"/>
      <c r="O132" s="3"/>
    </row>
    <row r="133" spans="2:16" ht="18">
      <c r="B133" s="3"/>
      <c r="C133" s="10">
        <v>17.5</v>
      </c>
      <c r="D133" s="11">
        <v>82.5</v>
      </c>
      <c r="E133" s="139">
        <f t="shared" si="12"/>
        <v>4.3793538030649469E-2</v>
      </c>
      <c r="F133" s="11">
        <v>4.4044846866658216E-2</v>
      </c>
      <c r="G133" s="77">
        <f t="shared" si="13"/>
        <v>-2.5130883600874704E-4</v>
      </c>
      <c r="H133" s="117">
        <f t="shared" si="14"/>
        <v>-5.7057488874819292E-3</v>
      </c>
      <c r="I133" s="3"/>
      <c r="J133" s="3"/>
      <c r="K133" s="3"/>
      <c r="L133" s="3"/>
      <c r="M133" s="3"/>
      <c r="N133" s="3"/>
      <c r="O133" s="3"/>
    </row>
    <row r="134" spans="2:16" ht="18">
      <c r="B134" s="3"/>
      <c r="C134" s="10">
        <v>20</v>
      </c>
      <c r="D134" s="11">
        <v>80</v>
      </c>
      <c r="E134" s="139">
        <f t="shared" si="12"/>
        <v>4.2995752642195018E-2</v>
      </c>
      <c r="F134" s="11">
        <v>4.3264382926754809E-2</v>
      </c>
      <c r="G134" s="77">
        <f t="shared" si="13"/>
        <v>-2.6863028455979127E-4</v>
      </c>
      <c r="H134" s="117">
        <f t="shared" si="14"/>
        <v>-6.2090400090664324E-3</v>
      </c>
      <c r="I134" s="3"/>
      <c r="J134" s="3"/>
      <c r="K134" s="3"/>
      <c r="L134" s="3"/>
      <c r="M134" s="3"/>
      <c r="N134" s="3"/>
      <c r="O134" s="3"/>
    </row>
    <row r="135" spans="2:16" ht="18">
      <c r="B135" s="3"/>
      <c r="C135" s="10">
        <v>22.499999999999996</v>
      </c>
      <c r="D135" s="11">
        <v>77.5</v>
      </c>
      <c r="E135" s="139">
        <f>(C135*$D$123*$E$123+D135*$F$123*$G$123)/(C135*$D$123+D135*$F$123)</f>
        <v>4.2217706973939076E-2</v>
      </c>
      <c r="F135" s="11">
        <v>4.2500180446961619E-2</v>
      </c>
      <c r="G135" s="77">
        <f t="shared" si="13"/>
        <v>-2.8247347302254311E-4</v>
      </c>
      <c r="H135" s="117">
        <f t="shared" si="14"/>
        <v>-6.646406439969302E-3</v>
      </c>
      <c r="I135" s="3"/>
      <c r="J135" s="3"/>
      <c r="K135" s="3"/>
      <c r="L135" s="3"/>
      <c r="M135" s="3"/>
      <c r="N135" s="3"/>
      <c r="O135" s="3"/>
    </row>
    <row r="136" spans="2:16" ht="18">
      <c r="B136" s="3"/>
      <c r="C136" s="10">
        <v>24.999999999999996</v>
      </c>
      <c r="D136" s="11">
        <v>75</v>
      </c>
      <c r="E136" s="139">
        <f t="shared" si="12"/>
        <v>4.1458677344792041E-2</v>
      </c>
      <c r="F136" s="11">
        <v>4.1751827819327889E-2</v>
      </c>
      <c r="G136" s="77">
        <f t="shared" si="13"/>
        <v>-2.9315047453584708E-4</v>
      </c>
      <c r="H136" s="117">
        <f t="shared" si="14"/>
        <v>-7.0212608608272936E-3</v>
      </c>
      <c r="I136" s="3"/>
      <c r="J136" s="3"/>
      <c r="K136" s="3"/>
      <c r="L136" s="3"/>
      <c r="M136" s="3"/>
      <c r="N136" s="3"/>
      <c r="O136" s="3"/>
    </row>
    <row r="137" spans="2:16" ht="18">
      <c r="B137" s="3"/>
      <c r="C137" s="10">
        <v>27.499999999999996</v>
      </c>
      <c r="D137" s="11">
        <v>72.500000000000014</v>
      </c>
      <c r="E137" s="139">
        <f t="shared" si="12"/>
        <v>4.0717975021244718E-2</v>
      </c>
      <c r="F137" s="11">
        <v>4.1018923072112565E-2</v>
      </c>
      <c r="G137" s="77">
        <f t="shared" si="13"/>
        <v>-3.0094805086784693E-4</v>
      </c>
      <c r="H137" s="117">
        <f t="shared" si="14"/>
        <v>-7.3368101434250418E-3</v>
      </c>
      <c r="I137" s="3"/>
      <c r="J137" s="3"/>
      <c r="K137" s="3"/>
      <c r="L137" s="3"/>
      <c r="M137" s="3"/>
      <c r="N137" s="3"/>
      <c r="O137" s="3"/>
      <c r="P137" s="3"/>
    </row>
    <row r="138" spans="2:16" ht="18">
      <c r="B138" s="3"/>
      <c r="C138" s="10">
        <v>30</v>
      </c>
      <c r="D138" s="11">
        <v>70</v>
      </c>
      <c r="E138" s="139">
        <f t="shared" si="12"/>
        <v>3.9994944132948275E-2</v>
      </c>
      <c r="F138" s="11">
        <v>4.0301073840974679E-2</v>
      </c>
      <c r="G138" s="77">
        <f t="shared" si="13"/>
        <v>-3.061297080264036E-4</v>
      </c>
      <c r="H138" s="117">
        <f t="shared" si="14"/>
        <v>-7.5960682644430465E-3</v>
      </c>
      <c r="I138" s="3"/>
      <c r="J138" s="3"/>
      <c r="K138" s="3"/>
      <c r="L138" s="3"/>
      <c r="M138" s="3"/>
      <c r="N138" s="3"/>
      <c r="O138" s="3"/>
      <c r="P138" s="3"/>
    </row>
    <row r="139" spans="2:16" ht="18">
      <c r="B139" s="3"/>
      <c r="C139" s="10">
        <v>32.5</v>
      </c>
      <c r="D139" s="11">
        <v>67.5</v>
      </c>
      <c r="E139" s="139">
        <f t="shared" si="12"/>
        <v>3.9288959735723744E-2</v>
      </c>
      <c r="F139" s="11">
        <v>3.9597897316322753E-2</v>
      </c>
      <c r="G139" s="77">
        <f t="shared" si="13"/>
        <v>-3.0893758059900855E-4</v>
      </c>
      <c r="H139" s="117">
        <f t="shared" si="14"/>
        <v>-7.8018683197014251E-3</v>
      </c>
      <c r="I139" s="3"/>
      <c r="J139" s="3"/>
      <c r="K139" s="3"/>
      <c r="L139" s="3"/>
      <c r="M139" s="3"/>
      <c r="N139" s="3"/>
      <c r="O139" s="3"/>
      <c r="P139" s="3"/>
    </row>
    <row r="140" spans="2:16" ht="18">
      <c r="B140" s="3"/>
      <c r="C140" s="10">
        <v>35</v>
      </c>
      <c r="D140" s="11">
        <v>64.999999999999986</v>
      </c>
      <c r="E140" s="139">
        <f t="shared" si="12"/>
        <v>3.85994260099774E-2</v>
      </c>
      <c r="F140" s="11">
        <v>3.8909020169523675E-2</v>
      </c>
      <c r="G140" s="77">
        <f t="shared" si="13"/>
        <v>-3.0959415954627534E-4</v>
      </c>
      <c r="H140" s="117">
        <f t="shared" si="14"/>
        <v>-7.9568737068524686E-3</v>
      </c>
      <c r="I140" s="3"/>
      <c r="J140" s="3"/>
      <c r="K140" s="3"/>
      <c r="L140" s="3"/>
      <c r="M140" s="3"/>
      <c r="N140" s="3"/>
      <c r="O140" s="3"/>
      <c r="P140" s="3"/>
    </row>
    <row r="141" spans="2:16" ht="18">
      <c r="B141" s="3"/>
      <c r="C141" s="10">
        <v>37.500000000000007</v>
      </c>
      <c r="D141" s="11">
        <v>62.5</v>
      </c>
      <c r="E141" s="139">
        <f t="shared" si="12"/>
        <v>3.7925774583605958E-2</v>
      </c>
      <c r="F141" s="11">
        <v>3.8234078460469847E-2</v>
      </c>
      <c r="G141" s="77">
        <f t="shared" si="13"/>
        <v>-3.0830387686388988E-4</v>
      </c>
      <c r="H141" s="117">
        <f t="shared" si="14"/>
        <v>-8.0635885387598596E-3</v>
      </c>
      <c r="I141" s="3"/>
      <c r="J141" s="3"/>
      <c r="K141" s="3"/>
      <c r="L141" s="3"/>
      <c r="M141" s="3"/>
      <c r="N141" s="3"/>
      <c r="O141" s="3"/>
      <c r="P141" s="3"/>
    </row>
    <row r="142" spans="2:16" ht="18">
      <c r="B142" s="3"/>
      <c r="C142" s="10">
        <v>40.000000000000007</v>
      </c>
      <c r="D142" s="11">
        <v>59.999999999999986</v>
      </c>
      <c r="E142" s="139">
        <f t="shared" si="12"/>
        <v>3.7267462969469749E-2</v>
      </c>
      <c r="F142" s="11">
        <v>3.7572717528809335E-2</v>
      </c>
      <c r="G142" s="77">
        <f t="shared" si="13"/>
        <v>-3.052545593395864E-4</v>
      </c>
      <c r="H142" s="117">
        <f t="shared" si="14"/>
        <v>-8.1243673446172414E-3</v>
      </c>
      <c r="I142" s="3"/>
      <c r="J142" s="3"/>
      <c r="K142" s="3"/>
      <c r="L142" s="3"/>
      <c r="M142" s="3"/>
      <c r="N142" s="3"/>
      <c r="O142" s="3"/>
      <c r="P142" s="3"/>
    </row>
    <row r="143" spans="2:16" ht="18">
      <c r="B143" s="3"/>
      <c r="C143" s="10">
        <v>42.500000000000007</v>
      </c>
      <c r="D143" s="11">
        <v>57.499999999999993</v>
      </c>
      <c r="E143" s="139">
        <f t="shared" si="12"/>
        <v>3.6623973108405997E-2</v>
      </c>
      <c r="F143" s="11">
        <v>3.6924591870958159E-2</v>
      </c>
      <c r="G143" s="77">
        <f t="shared" si="13"/>
        <v>-3.006187625521628E-4</v>
      </c>
      <c r="H143" s="117">
        <f t="shared" si="14"/>
        <v>-8.1414241111383758E-3</v>
      </c>
      <c r="I143" s="3"/>
      <c r="J143" s="3"/>
      <c r="K143" s="3"/>
      <c r="L143" s="3"/>
      <c r="M143" s="3"/>
      <c r="N143" s="3"/>
      <c r="O143" s="3"/>
      <c r="P143" s="3"/>
    </row>
    <row r="144" spans="2:16" ht="18">
      <c r="B144" s="3"/>
      <c r="C144" s="10">
        <v>45.000000000000014</v>
      </c>
      <c r="D144" s="11">
        <v>54.999999999999986</v>
      </c>
      <c r="E144" s="139">
        <f t="shared" si="12"/>
        <v>3.5994810009557607E-2</v>
      </c>
      <c r="F144" s="11">
        <v>3.6289365004833561E-2</v>
      </c>
      <c r="G144" s="77">
        <f t="shared" si="13"/>
        <v>-2.9455499527595436E-4</v>
      </c>
      <c r="H144" s="117">
        <f t="shared" si="14"/>
        <v>-8.1168407117821195E-3</v>
      </c>
      <c r="I144" s="3"/>
      <c r="J144" s="3"/>
      <c r="K144" s="3"/>
      <c r="L144" s="3"/>
      <c r="M144" s="3"/>
      <c r="N144" s="3"/>
      <c r="O144" s="3"/>
      <c r="P144" s="3"/>
    </row>
    <row r="145" spans="2:16" ht="18">
      <c r="B145" s="3"/>
      <c r="C145" s="10">
        <v>47.500000000000014</v>
      </c>
      <c r="D145" s="11">
        <v>52.499999999999993</v>
      </c>
      <c r="E145" s="139">
        <f t="shared" si="12"/>
        <v>3.5379500480518251E-2</v>
      </c>
      <c r="F145" s="11">
        <v>3.5666709324091231E-2</v>
      </c>
      <c r="G145" s="77">
        <f t="shared" si="13"/>
        <v>-2.8720884357297943E-4</v>
      </c>
      <c r="H145" s="117">
        <f t="shared" si="14"/>
        <v>-8.052574768342393E-3</v>
      </c>
      <c r="I145" s="3"/>
      <c r="J145" s="3"/>
      <c r="K145" s="3"/>
      <c r="L145" s="3"/>
      <c r="M145" s="3"/>
      <c r="N145" s="3"/>
      <c r="O145" s="3"/>
      <c r="P145" s="3"/>
    </row>
    <row r="146" spans="2:16" ht="18">
      <c r="B146" s="3"/>
      <c r="C146" s="10">
        <v>50.000000000000014</v>
      </c>
      <c r="D146" s="11">
        <v>49.999999999999986</v>
      </c>
      <c r="E146" s="139">
        <f t="shared" si="12"/>
        <v>3.4777591940446717E-2</v>
      </c>
      <c r="F146" s="11">
        <v>3.5056305943478611E-2</v>
      </c>
      <c r="G146" s="77">
        <f t="shared" si="13"/>
        <v>-2.7871400303189353E-4</v>
      </c>
      <c r="H146" s="117">
        <f t="shared" si="14"/>
        <v>-7.9504669853482264E-3</v>
      </c>
      <c r="I146" s="3"/>
      <c r="J146" s="3"/>
      <c r="K146" s="3"/>
      <c r="L146" s="3"/>
      <c r="M146" s="3"/>
      <c r="N146" s="3"/>
      <c r="O146" s="3"/>
      <c r="P146" s="3"/>
    </row>
    <row r="147" spans="2:16" ht="18">
      <c r="B147" s="3"/>
      <c r="C147" s="10">
        <v>52.500000000000014</v>
      </c>
      <c r="D147" s="11">
        <v>47.499999999999986</v>
      </c>
      <c r="E147" s="139">
        <f t="shared" si="12"/>
        <v>3.4188651309894458E-2</v>
      </c>
      <c r="F147" s="11">
        <v>3.4457844536783071E-2</v>
      </c>
      <c r="G147" s="77">
        <f t="shared" si="13"/>
        <v>-2.6919322688861297E-4</v>
      </c>
      <c r="H147" s="117">
        <f t="shared" si="14"/>
        <v>-7.812247994829E-3</v>
      </c>
      <c r="I147" s="3"/>
      <c r="J147" s="3"/>
      <c r="K147" s="3"/>
      <c r="L147" s="3"/>
      <c r="M147" s="3"/>
      <c r="N147" s="3"/>
      <c r="O147" s="3"/>
      <c r="P147" s="3"/>
    </row>
    <row r="148" spans="2:16" ht="18">
      <c r="B148" s="3"/>
      <c r="C148" s="10">
        <v>55.000000000000014</v>
      </c>
      <c r="D148" s="11">
        <v>44.999999999999986</v>
      </c>
      <c r="E148" s="139">
        <f t="shared" si="12"/>
        <v>3.3612263971623264E-2</v>
      </c>
      <c r="F148" s="11">
        <v>3.3871023168709075E-2</v>
      </c>
      <c r="G148" s="77">
        <f t="shared" si="13"/>
        <v>-2.5875919708581024E-4</v>
      </c>
      <c r="H148" s="117">
        <f t="shared" si="14"/>
        <v>-7.6395447458717063E-3</v>
      </c>
      <c r="I148" s="3"/>
      <c r="J148" s="3"/>
      <c r="K148" s="3"/>
      <c r="L148" s="3"/>
      <c r="M148" s="3"/>
      <c r="N148" s="3"/>
      <c r="O148" s="3"/>
      <c r="P148" s="3"/>
    </row>
    <row r="149" spans="2:16" ht="18">
      <c r="B149" s="3"/>
      <c r="C149" s="10">
        <v>57.500000000000014</v>
      </c>
      <c r="D149" s="11">
        <v>42.499999999999986</v>
      </c>
      <c r="E149" s="139">
        <f t="shared" si="12"/>
        <v>3.304803279717284E-2</v>
      </c>
      <c r="F149" s="11">
        <v>3.3295548121891644E-2</v>
      </c>
      <c r="G149" s="77">
        <f t="shared" si="13"/>
        <v>-2.4751532471880416E-4</v>
      </c>
      <c r="H149" s="117">
        <f t="shared" si="14"/>
        <v>-7.4338864707280241E-3</v>
      </c>
      <c r="I149" s="3"/>
      <c r="J149" s="3"/>
      <c r="K149" s="3"/>
      <c r="L149" s="3"/>
      <c r="M149" s="3"/>
      <c r="N149" s="3"/>
      <c r="O149" s="3"/>
      <c r="P149" s="3"/>
    </row>
    <row r="150" spans="2:16" ht="18">
      <c r="B150" s="3"/>
      <c r="C150" s="10">
        <v>60.000000000000021</v>
      </c>
      <c r="D150" s="11">
        <v>39.999999999999979</v>
      </c>
      <c r="E150" s="139">
        <f t="shared" si="12"/>
        <v>3.2495577234375489E-2</v>
      </c>
      <c r="F150" s="11">
        <v>3.2731133720138417E-2</v>
      </c>
      <c r="G150" s="77">
        <f t="shared" si="13"/>
        <v>-2.3555648576292776E-4</v>
      </c>
      <c r="H150" s="117">
        <f t="shared" si="14"/>
        <v>-7.1967102568768464E-3</v>
      </c>
      <c r="I150" s="3"/>
      <c r="J150" s="3"/>
      <c r="K150" s="3"/>
      <c r="L150" s="3"/>
      <c r="M150" s="3"/>
      <c r="N150" s="3"/>
      <c r="O150" s="3"/>
      <c r="P150" s="3"/>
    </row>
    <row r="151" spans="2:16" ht="18">
      <c r="B151" s="3"/>
      <c r="C151" s="10">
        <v>62.500000000000021</v>
      </c>
      <c r="D151" s="11">
        <v>37.499999999999979</v>
      </c>
      <c r="E151" s="139">
        <f t="shared" si="12"/>
        <v>3.1954532451412054E-2</v>
      </c>
      <c r="F151" s="11">
        <v>3.2177502148877823E-2</v>
      </c>
      <c r="G151" s="77">
        <f t="shared" si="13"/>
        <v>-2.2296969746576911E-4</v>
      </c>
      <c r="H151" s="117">
        <f t="shared" si="14"/>
        <v>-6.9293662520521371E-3</v>
      </c>
      <c r="I151" s="3"/>
      <c r="J151" s="3"/>
      <c r="K151" s="3"/>
      <c r="L151" s="3"/>
      <c r="M151" s="3"/>
      <c r="N151" s="3"/>
      <c r="O151" s="3"/>
      <c r="P151" s="3"/>
    </row>
    <row r="152" spans="2:16" ht="18">
      <c r="B152" s="3"/>
      <c r="C152" s="10">
        <v>65.000000000000028</v>
      </c>
      <c r="D152" s="11">
        <v>34.999999999999979</v>
      </c>
      <c r="E152" s="139">
        <f t="shared" si="12"/>
        <v>3.1424548533363426E-2</v>
      </c>
      <c r="F152" s="11">
        <v>3.1634383273694021E-2</v>
      </c>
      <c r="G152" s="77">
        <f t="shared" si="13"/>
        <v>-2.0983474033059446E-4</v>
      </c>
      <c r="H152" s="117">
        <f t="shared" si="14"/>
        <v>-6.6331225273193566E-3</v>
      </c>
      <c r="I152" s="3"/>
      <c r="J152" s="3"/>
      <c r="K152" s="3"/>
      <c r="L152" s="3"/>
      <c r="M152" s="3"/>
      <c r="N152" s="3"/>
      <c r="O152" s="3"/>
      <c r="P152" s="3"/>
    </row>
    <row r="153" spans="2:16" ht="18">
      <c r="B153" s="3"/>
      <c r="C153" s="10">
        <v>67.500000000000028</v>
      </c>
      <c r="D153" s="11">
        <v>32.499999999999972</v>
      </c>
      <c r="E153" s="139">
        <f t="shared" si="12"/>
        <v>3.0905289727539358E-2</v>
      </c>
      <c r="F153" s="11">
        <v>3.1101514457732026E-2</v>
      </c>
      <c r="G153" s="77">
        <f t="shared" si="13"/>
        <v>-1.9622473019266853E-4</v>
      </c>
      <c r="H153" s="117">
        <f t="shared" si="14"/>
        <v>-6.3091696212846599E-3</v>
      </c>
      <c r="I153" s="3"/>
      <c r="J153" s="3"/>
      <c r="K153" s="3"/>
      <c r="L153" s="3"/>
      <c r="M153" s="3"/>
      <c r="N153" s="3"/>
      <c r="O153" s="3"/>
      <c r="P153" s="3"/>
    </row>
    <row r="154" spans="2:16" ht="18">
      <c r="B154" s="3"/>
      <c r="C154" s="10">
        <v>70.000000000000028</v>
      </c>
      <c r="D154" s="11">
        <v>29.999999999999972</v>
      </c>
      <c r="E154" s="139">
        <f t="shared" si="12"/>
        <v>3.0396433734164518E-2</v>
      </c>
      <c r="F154" s="11">
        <v>3.0578640378672792E-2</v>
      </c>
      <c r="G154" s="77">
        <f t="shared" si="13"/>
        <v>-1.8220664450827387E-4</v>
      </c>
      <c r="H154" s="117">
        <f t="shared" si="14"/>
        <v>-5.9586247868415598E-3</v>
      </c>
      <c r="I154" s="3"/>
      <c r="J154" s="3"/>
      <c r="K154" s="3"/>
      <c r="L154" s="3"/>
      <c r="M154" s="3"/>
      <c r="N154" s="3"/>
      <c r="O154" s="3"/>
      <c r="P154" s="3"/>
    </row>
    <row r="155" spans="2:16" ht="18">
      <c r="B155" s="3"/>
      <c r="C155" s="10">
        <v>72.500000000000028</v>
      </c>
      <c r="D155" s="11">
        <v>27.499999999999968</v>
      </c>
      <c r="E155" s="139">
        <f t="shared" si="12"/>
        <v>2.9897671039272832E-2</v>
      </c>
      <c r="F155" s="11">
        <v>3.0065512845897958E-2</v>
      </c>
      <c r="G155" s="77">
        <f t="shared" si="13"/>
        <v>-1.6784180662512624E-4</v>
      </c>
      <c r="H155" s="117">
        <f t="shared" si="14"/>
        <v>-5.5825359602347854E-3</v>
      </c>
      <c r="I155" s="3"/>
      <c r="J155" s="3"/>
      <c r="K155" s="3"/>
      <c r="L155" s="3"/>
      <c r="M155" s="3"/>
      <c r="N155" s="3"/>
      <c r="O155" s="3"/>
      <c r="P155" s="3"/>
    </row>
    <row r="156" spans="2:16" ht="18">
      <c r="B156" s="3"/>
      <c r="C156" s="10">
        <v>75.000000000000028</v>
      </c>
      <c r="D156" s="11">
        <v>24.999999999999968</v>
      </c>
      <c r="E156" s="139">
        <f t="shared" si="12"/>
        <v>2.9408704286908664E-2</v>
      </c>
      <c r="F156" s="11">
        <v>2.956189061839205E-2</v>
      </c>
      <c r="G156" s="77">
        <f t="shared" si="13"/>
        <v>-1.5318633148338548E-4</v>
      </c>
      <c r="H156" s="117">
        <f t="shared" si="14"/>
        <v>-5.1818854707513188E-3</v>
      </c>
      <c r="I156" s="3"/>
      <c r="J156" s="3"/>
      <c r="K156" s="3"/>
      <c r="L156" s="3"/>
      <c r="M156" s="3"/>
      <c r="N156" s="3"/>
      <c r="O156" s="3"/>
      <c r="P156" s="3"/>
    </row>
    <row r="157" spans="2:16" ht="18">
      <c r="B157" s="3"/>
      <c r="C157" s="10">
        <v>77.500000000000028</v>
      </c>
      <c r="D157" s="11">
        <v>22.499999999999964</v>
      </c>
      <c r="E157" s="139">
        <f t="shared" si="12"/>
        <v>2.8929247687959059E-2</v>
      </c>
      <c r="F157" s="11">
        <v>2.9067539223863331E-2</v>
      </c>
      <c r="G157" s="77">
        <f t="shared" si="13"/>
        <v>-1.3829153590427107E-4</v>
      </c>
      <c r="H157" s="117">
        <f t="shared" si="14"/>
        <v>-4.7575935079753511E-3</v>
      </c>
      <c r="I157" s="3"/>
      <c r="J157" s="3"/>
      <c r="K157" s="3"/>
      <c r="L157" s="3"/>
      <c r="M157" s="3"/>
      <c r="N157" s="3"/>
      <c r="O157" s="3"/>
      <c r="P157" s="3"/>
    </row>
    <row r="158" spans="2:16" ht="18">
      <c r="B158" s="3"/>
      <c r="C158" s="10">
        <v>80.000000000000043</v>
      </c>
      <c r="D158" s="11">
        <v>19.999999999999961</v>
      </c>
      <c r="E158" s="139">
        <f t="shared" si="12"/>
        <v>2.8459026463147588E-2</v>
      </c>
      <c r="F158" s="11">
        <v>2.858223077950579E-2</v>
      </c>
      <c r="G158" s="77">
        <f t="shared" si="13"/>
        <v>-1.2320431635820181E-4</v>
      </c>
      <c r="H158" s="117">
        <f t="shared" si="14"/>
        <v>-4.3105213623333607E-3</v>
      </c>
      <c r="I158" s="3"/>
      <c r="J158" s="3"/>
      <c r="K158" s="3"/>
      <c r="L158" s="3"/>
      <c r="M158" s="3"/>
      <c r="N158" s="3"/>
      <c r="O158" s="3"/>
      <c r="P158" s="3"/>
    </row>
    <row r="159" spans="2:16" ht="18">
      <c r="B159" s="3"/>
      <c r="C159" s="10">
        <v>82.500000000000043</v>
      </c>
      <c r="D159" s="11">
        <v>17.499999999999961</v>
      </c>
      <c r="E159" s="139">
        <f t="shared" si="12"/>
        <v>2.7997776317908517E-2</v>
      </c>
      <c r="F159" s="11">
        <v>2.8105743814767277E-2</v>
      </c>
      <c r="G159" s="77">
        <f t="shared" si="13"/>
        <v>-1.0796749685875948E-4</v>
      </c>
      <c r="H159" s="117">
        <f t="shared" si="14"/>
        <v>-3.8414744534187124E-3</v>
      </c>
      <c r="I159" s="3"/>
      <c r="J159" s="3"/>
      <c r="K159" s="3"/>
      <c r="L159" s="3"/>
      <c r="M159" s="3"/>
      <c r="N159" s="3"/>
      <c r="O159" s="3"/>
      <c r="P159" s="3"/>
    </row>
    <row r="160" spans="2:16" ht="18">
      <c r="B160" s="3"/>
      <c r="C160" s="10">
        <v>85.000000000000043</v>
      </c>
      <c r="D160" s="11">
        <v>14.999999999999957</v>
      </c>
      <c r="E160" s="139">
        <f t="shared" si="12"/>
        <v>2.7545242947032721E-2</v>
      </c>
      <c r="F160" s="11">
        <v>2.7637863096441978E-2</v>
      </c>
      <c r="G160" s="77">
        <f t="shared" si="13"/>
        <v>-9.2620149409257391E-5</v>
      </c>
      <c r="H160" s="117">
        <f t="shared" si="14"/>
        <v>-3.3512051596051597E-3</v>
      </c>
      <c r="I160" s="3"/>
      <c r="J160" s="3"/>
      <c r="K160" s="3"/>
      <c r="L160" s="3"/>
      <c r="M160" s="3"/>
      <c r="N160" s="3"/>
      <c r="O160" s="3"/>
      <c r="P160" s="3"/>
    </row>
    <row r="161" spans="2:16" ht="18">
      <c r="B161" s="3"/>
      <c r="C161" s="10">
        <v>87.500000000000043</v>
      </c>
      <c r="D161" s="11">
        <v>12.499999999999956</v>
      </c>
      <c r="E161" s="139">
        <f t="shared" si="12"/>
        <v>2.7101181567134557E-2</v>
      </c>
      <c r="F161" s="11">
        <v>2.7178379456358554E-2</v>
      </c>
      <c r="G161" s="77">
        <f t="shared" si="13"/>
        <v>-7.719788922399759E-5</v>
      </c>
      <c r="H161" s="117">
        <f t="shared" si="14"/>
        <v>-2.8404154614132689E-3</v>
      </c>
      <c r="I161" s="3"/>
      <c r="J161" s="3"/>
      <c r="K161" s="3"/>
      <c r="L161" s="3"/>
      <c r="M161" s="3"/>
      <c r="N161" s="3"/>
      <c r="O161" s="3"/>
      <c r="P161" s="3"/>
    </row>
    <row r="162" spans="2:16" ht="18">
      <c r="B162" s="3"/>
      <c r="C162" s="10">
        <v>90.000000000000043</v>
      </c>
      <c r="D162" s="11">
        <v>9.9999999999999538</v>
      </c>
      <c r="E162" s="139">
        <f t="shared" si="12"/>
        <v>2.6665356475133621E-2</v>
      </c>
      <c r="F162" s="11">
        <v>2.6727089621894008E-2</v>
      </c>
      <c r="G162" s="77">
        <f t="shared" si="13"/>
        <v>-6.1733146760386409E-5</v>
      </c>
      <c r="H162" s="117">
        <f t="shared" si="14"/>
        <v>-2.3097594101610121E-3</v>
      </c>
      <c r="I162" s="3"/>
      <c r="J162" s="3"/>
      <c r="K162" s="3"/>
      <c r="L162" s="3"/>
      <c r="M162" s="3"/>
      <c r="N162" s="3"/>
      <c r="O162" s="3"/>
      <c r="P162" s="3"/>
    </row>
    <row r="163" spans="2:16" ht="18">
      <c r="B163" s="3"/>
      <c r="C163" s="10">
        <v>92.500000000000043</v>
      </c>
      <c r="D163" s="11">
        <v>7.4999999999999512</v>
      </c>
      <c r="E163" s="139">
        <f t="shared" si="12"/>
        <v>2.623754063107812E-2</v>
      </c>
      <c r="F163" s="11">
        <v>2.6283796049508392E-2</v>
      </c>
      <c r="G163" s="77">
        <f t="shared" si="13"/>
        <v>-4.6255418430271589E-5</v>
      </c>
      <c r="H163" s="117">
        <f t="shared" si="14"/>
        <v>-1.7598454326439176E-3</v>
      </c>
      <c r="I163" s="3"/>
      <c r="J163" s="3"/>
      <c r="K163" s="3"/>
      <c r="L163" s="3"/>
      <c r="M163" s="3"/>
      <c r="N163" s="3"/>
      <c r="O163" s="3"/>
      <c r="P163" s="3"/>
    </row>
    <row r="164" spans="2:16" ht="18">
      <c r="B164" s="3"/>
      <c r="C164" s="10">
        <v>95.000000000000057</v>
      </c>
      <c r="D164" s="11">
        <v>4.9999999999999485</v>
      </c>
      <c r="E164" s="139">
        <f t="shared" si="12"/>
        <v>2.5817515263758466E-2</v>
      </c>
      <c r="F164" s="11">
        <v>2.5848306761461042E-2</v>
      </c>
      <c r="G164" s="77">
        <f t="shared" si="13"/>
        <v>-3.0791497702575832E-5</v>
      </c>
      <c r="H164" s="117">
        <f t="shared" si="14"/>
        <v>-1.1912384817594677E-3</v>
      </c>
      <c r="I164" s="3"/>
      <c r="J164" s="3"/>
      <c r="K164" s="3"/>
      <c r="L164" s="3"/>
      <c r="M164" s="3"/>
      <c r="N164" s="3"/>
      <c r="O164" s="3"/>
      <c r="P164" s="3"/>
    </row>
    <row r="165" spans="2:16" ht="18">
      <c r="B165" s="3"/>
      <c r="C165" s="10">
        <v>97.500000000000057</v>
      </c>
      <c r="D165" s="11">
        <v>2.4999999999999467</v>
      </c>
      <c r="E165" s="139">
        <f t="shared" si="12"/>
        <v>2.5405069497671649E-2</v>
      </c>
      <c r="F165" s="11">
        <v>2.5420435185838572E-2</v>
      </c>
      <c r="G165" s="77">
        <f t="shared" si="13"/>
        <v>-1.5365688166922575E-5</v>
      </c>
      <c r="H165" s="117">
        <f t="shared" si="14"/>
        <v>-6.0446204223453342E-4</v>
      </c>
      <c r="I165" s="3"/>
      <c r="J165" s="3"/>
      <c r="K165" s="3"/>
      <c r="L165" s="3"/>
      <c r="M165" s="3"/>
      <c r="N165" s="3"/>
      <c r="O165" s="3"/>
      <c r="P165" s="3"/>
    </row>
    <row r="166" spans="2:16" ht="19" thickBot="1">
      <c r="B166" s="3"/>
      <c r="C166" s="12">
        <v>100.00000000000004</v>
      </c>
      <c r="D166" s="13">
        <v>0</v>
      </c>
      <c r="E166" s="140">
        <f t="shared" si="12"/>
        <v>2.5000000000000001E-2</v>
      </c>
      <c r="F166" s="13">
        <v>2.5000000000000053E-2</v>
      </c>
      <c r="G166" s="118">
        <f t="shared" si="13"/>
        <v>-5.2041704279304213E-17</v>
      </c>
      <c r="H166" s="119">
        <f>(E166-F166)/F166</f>
        <v>-2.0816681711721642E-15</v>
      </c>
      <c r="I166" s="3"/>
      <c r="J166" s="3"/>
      <c r="K166" s="3"/>
      <c r="L166" s="3"/>
      <c r="M166" s="3"/>
      <c r="N166" s="3"/>
      <c r="O166" s="3"/>
      <c r="P166" s="3"/>
    </row>
    <row r="167" spans="2:16" ht="18">
      <c r="B167" s="3"/>
      <c r="C167" s="3"/>
      <c r="D167" s="3"/>
      <c r="E167" s="3"/>
      <c r="F167" s="3"/>
      <c r="G167" s="3"/>
      <c r="H167" s="3"/>
      <c r="I167" s="3"/>
      <c r="J167" s="3"/>
      <c r="K167" s="3"/>
      <c r="L167" s="3"/>
      <c r="M167" s="3"/>
      <c r="N167" s="3"/>
      <c r="O167" s="3"/>
      <c r="P167" s="3"/>
    </row>
    <row r="168" spans="2:16" ht="18">
      <c r="B168" s="3"/>
      <c r="C168" s="6" t="s">
        <v>103</v>
      </c>
      <c r="D168" s="6"/>
      <c r="E168" s="6"/>
      <c r="F168" s="6"/>
      <c r="G168" s="6"/>
      <c r="H168" s="6"/>
      <c r="I168" s="57"/>
      <c r="J168" s="57"/>
      <c r="K168" s="3"/>
      <c r="L168" s="3"/>
      <c r="M168" s="3"/>
      <c r="N168" s="3"/>
      <c r="O168" s="3"/>
      <c r="P168" s="3"/>
    </row>
    <row r="169" spans="2:16" ht="18">
      <c r="B169" s="3"/>
      <c r="C169" s="3"/>
      <c r="D169" s="3"/>
      <c r="E169" s="3"/>
      <c r="F169" s="3"/>
      <c r="G169" s="3"/>
      <c r="H169" s="3"/>
      <c r="I169" s="3"/>
      <c r="J169" s="3"/>
      <c r="K169" s="3"/>
      <c r="L169" s="3"/>
      <c r="M169" s="3"/>
      <c r="N169" s="3"/>
      <c r="O169" s="3"/>
      <c r="P169" s="3"/>
    </row>
    <row r="170" spans="2:16" ht="18">
      <c r="B170" s="4" t="s">
        <v>104</v>
      </c>
      <c r="C170" s="4" t="s">
        <v>105</v>
      </c>
      <c r="D170" s="55"/>
      <c r="E170" s="55"/>
      <c r="F170" s="55"/>
      <c r="G170" s="55"/>
      <c r="H170" s="55"/>
      <c r="I170" s="55"/>
      <c r="J170" s="55"/>
      <c r="K170" s="55"/>
      <c r="L170" s="55"/>
      <c r="M170" s="55"/>
      <c r="N170" s="55"/>
      <c r="O170" s="3"/>
      <c r="P170" s="3"/>
    </row>
    <row r="171" spans="2:16" ht="18">
      <c r="B171" s="3"/>
      <c r="C171" s="3"/>
      <c r="D171" s="3"/>
      <c r="E171" s="4" t="s">
        <v>106</v>
      </c>
      <c r="F171" s="54"/>
      <c r="G171" s="55"/>
      <c r="H171" s="14"/>
      <c r="I171" s="3"/>
      <c r="J171" s="3"/>
      <c r="K171" s="3"/>
      <c r="L171" s="3"/>
      <c r="M171" s="3"/>
      <c r="N171" s="3"/>
      <c r="O171" s="3"/>
      <c r="P171" s="3"/>
    </row>
    <row r="172" spans="2:16" ht="18">
      <c r="B172" s="3"/>
      <c r="C172" s="111"/>
      <c r="D172" s="3"/>
      <c r="E172" s="3"/>
      <c r="F172" s="3"/>
      <c r="G172" s="3"/>
      <c r="H172" s="3"/>
      <c r="I172" s="113"/>
      <c r="J172" s="3"/>
      <c r="K172" s="3"/>
      <c r="L172" s="3"/>
      <c r="M172" s="3"/>
      <c r="N172" s="3"/>
      <c r="O172" s="3"/>
      <c r="P172" s="3"/>
    </row>
    <row r="173" spans="2:16" ht="18">
      <c r="B173" s="3"/>
      <c r="C173" s="6" t="s">
        <v>148</v>
      </c>
      <c r="D173" s="57"/>
      <c r="E173" s="57"/>
      <c r="F173" s="57"/>
      <c r="G173" s="57"/>
      <c r="H173" s="113"/>
      <c r="I173" s="111"/>
      <c r="J173" s="113"/>
      <c r="K173" s="3"/>
      <c r="L173" s="3"/>
      <c r="M173" s="3"/>
      <c r="N173" s="3"/>
      <c r="O173" s="3"/>
      <c r="P173" s="3"/>
    </row>
    <row r="174" spans="2:16" ht="18">
      <c r="B174" s="3"/>
      <c r="C174" s="126" t="s">
        <v>149</v>
      </c>
      <c r="D174" s="57"/>
      <c r="E174" s="57"/>
      <c r="F174" s="57"/>
      <c r="G174" s="113"/>
      <c r="H174" s="3"/>
      <c r="I174" s="3"/>
      <c r="J174" s="3"/>
      <c r="K174" s="3"/>
      <c r="L174" s="3"/>
      <c r="M174" s="3"/>
      <c r="N174" s="3"/>
      <c r="O174" s="3"/>
      <c r="P174" s="3"/>
    </row>
    <row r="175" spans="2:16" ht="18">
      <c r="B175" s="3"/>
      <c r="C175" s="3"/>
      <c r="D175" s="3"/>
      <c r="E175" s="3"/>
      <c r="F175" s="3"/>
      <c r="G175" s="112"/>
      <c r="H175" s="3"/>
      <c r="I175" s="3"/>
      <c r="J175" s="3"/>
      <c r="K175" s="3"/>
      <c r="L175" s="3"/>
      <c r="M175" s="3"/>
      <c r="N175" s="3"/>
      <c r="O175" s="3"/>
      <c r="P175" s="3"/>
    </row>
    <row r="176" spans="2:16" ht="18">
      <c r="B176" s="3"/>
      <c r="G176" s="3"/>
      <c r="H176" s="3"/>
      <c r="I176" s="3"/>
      <c r="J176" s="3"/>
      <c r="K176" s="3"/>
      <c r="L176" s="3"/>
      <c r="M176" s="3"/>
      <c r="N176" s="3"/>
      <c r="O176" s="3"/>
      <c r="P176" s="3"/>
    </row>
    <row r="177" spans="2:16" ht="18">
      <c r="B177" s="3"/>
      <c r="C177" s="6" t="s">
        <v>150</v>
      </c>
      <c r="D177" s="113"/>
      <c r="E177" s="6" t="s">
        <v>151</v>
      </c>
      <c r="F177" s="123"/>
      <c r="G177" s="125"/>
      <c r="H177" s="3"/>
      <c r="I177" s="3"/>
      <c r="J177" s="3"/>
      <c r="K177" s="3"/>
      <c r="L177" s="3"/>
      <c r="M177" s="3"/>
      <c r="N177" s="3"/>
      <c r="O177" s="3"/>
      <c r="P177" s="3"/>
    </row>
    <row r="178" spans="2:16" ht="18">
      <c r="B178" s="3"/>
      <c r="C178" s="3"/>
      <c r="D178" s="3"/>
      <c r="E178" s="3"/>
      <c r="F178" s="112"/>
      <c r="G178" s="3"/>
      <c r="H178" s="113"/>
      <c r="I178" s="3"/>
      <c r="J178" s="3"/>
      <c r="K178" s="3"/>
      <c r="L178" s="3"/>
      <c r="M178" s="3"/>
      <c r="N178" s="3"/>
      <c r="O178" s="3"/>
      <c r="P178" s="3"/>
    </row>
    <row r="179" spans="2:16" ht="18">
      <c r="B179" s="3"/>
      <c r="C179" s="3"/>
      <c r="D179" s="3"/>
      <c r="E179" s="3"/>
      <c r="F179" s="3"/>
      <c r="G179" s="3"/>
      <c r="H179" s="112"/>
      <c r="I179" s="3"/>
      <c r="J179" s="3"/>
      <c r="K179" s="3"/>
      <c r="L179" s="3"/>
      <c r="M179" s="3"/>
      <c r="N179" s="3"/>
      <c r="O179" s="3"/>
      <c r="P179" s="3"/>
    </row>
    <row r="180" spans="2:16" ht="18">
      <c r="B180" s="3"/>
      <c r="C180" s="6" t="s">
        <v>152</v>
      </c>
      <c r="D180" s="57"/>
      <c r="E180" s="57"/>
      <c r="F180" s="113"/>
      <c r="G180" s="3"/>
      <c r="H180" s="3"/>
      <c r="I180" s="3"/>
      <c r="J180" s="3"/>
      <c r="K180" s="3"/>
      <c r="L180" s="3"/>
      <c r="M180" s="3"/>
      <c r="N180" s="3"/>
      <c r="O180" s="3"/>
      <c r="P180" s="3"/>
    </row>
    <row r="181" spans="2:16" ht="18">
      <c r="B181" s="3"/>
      <c r="C181" s="3"/>
      <c r="D181" s="3"/>
      <c r="E181" s="3"/>
      <c r="F181" s="3"/>
      <c r="G181" s="3"/>
      <c r="H181" s="3"/>
      <c r="I181" s="3"/>
      <c r="J181" s="3"/>
      <c r="K181" s="3"/>
      <c r="L181" s="3"/>
      <c r="M181" s="3"/>
      <c r="N181" s="3"/>
      <c r="O181" s="3"/>
      <c r="P181" s="3"/>
    </row>
    <row r="182" spans="2:16" ht="18">
      <c r="B182" s="3"/>
      <c r="C182" s="3"/>
      <c r="D182" s="3"/>
      <c r="E182" s="3"/>
      <c r="F182" s="3"/>
      <c r="G182" s="3"/>
      <c r="H182" s="3"/>
      <c r="I182" s="3"/>
      <c r="J182" s="3"/>
      <c r="K182" s="3"/>
      <c r="L182" s="3"/>
      <c r="M182" s="3"/>
      <c r="N182" s="3"/>
      <c r="O182" s="3"/>
      <c r="P182" s="3"/>
    </row>
    <row r="183" spans="2:16" ht="18">
      <c r="B183" s="3"/>
      <c r="C183" s="3"/>
      <c r="D183" s="3"/>
      <c r="E183" s="3"/>
      <c r="F183" s="3"/>
      <c r="G183" s="3"/>
      <c r="H183" s="3"/>
      <c r="I183" s="3"/>
      <c r="J183" s="3"/>
      <c r="K183" s="3"/>
      <c r="L183" s="3"/>
      <c r="M183" s="3"/>
      <c r="N183" s="3"/>
      <c r="O183" s="3"/>
      <c r="P183" s="3"/>
    </row>
    <row r="184" spans="2:16" ht="18">
      <c r="B184" s="3"/>
      <c r="C184" s="3"/>
      <c r="D184" s="3"/>
      <c r="E184" s="3"/>
      <c r="F184" s="3"/>
      <c r="G184" s="3"/>
      <c r="H184" s="3"/>
      <c r="I184" s="3"/>
      <c r="J184" s="3"/>
      <c r="K184" s="3"/>
      <c r="L184" s="3"/>
      <c r="M184" s="3"/>
      <c r="N184" s="3"/>
      <c r="O184" s="3"/>
      <c r="P184" s="3"/>
    </row>
    <row r="185" spans="2:16" ht="18">
      <c r="B185" s="3"/>
      <c r="C185" s="3"/>
      <c r="D185" s="3"/>
      <c r="E185" s="3"/>
      <c r="F185" s="3"/>
      <c r="G185" s="3"/>
      <c r="H185" s="3"/>
      <c r="I185" s="3"/>
      <c r="J185" s="3"/>
      <c r="K185" s="3"/>
      <c r="L185" s="3"/>
      <c r="M185" s="3"/>
      <c r="N185" s="3"/>
      <c r="O185" s="3"/>
      <c r="P185" s="3"/>
    </row>
    <row r="186" spans="2:16" ht="18">
      <c r="B186" s="3"/>
      <c r="C186" s="3"/>
      <c r="D186" s="3"/>
      <c r="E186" s="3"/>
      <c r="F186" s="3"/>
      <c r="G186" s="3"/>
      <c r="H186" s="3"/>
      <c r="I186" s="3"/>
      <c r="J186" s="3"/>
      <c r="K186" s="3"/>
      <c r="L186" s="3"/>
      <c r="M186" s="3"/>
      <c r="N186" s="3"/>
      <c r="O186" s="3"/>
      <c r="P186" s="3"/>
    </row>
    <row r="187" spans="2:16" ht="18">
      <c r="B187" s="3"/>
      <c r="C187" s="3"/>
      <c r="D187" s="3"/>
      <c r="E187" s="3"/>
      <c r="F187" s="3"/>
      <c r="G187" s="3"/>
      <c r="H187" s="3"/>
      <c r="I187" s="3"/>
      <c r="J187" s="3"/>
      <c r="K187" s="3"/>
      <c r="L187" s="3"/>
      <c r="M187" s="3"/>
      <c r="N187" s="3"/>
      <c r="O187" s="3"/>
      <c r="P187" s="3"/>
    </row>
    <row r="188" spans="2:16" ht="18">
      <c r="B188" s="3"/>
      <c r="C188" s="3"/>
      <c r="D188" s="3"/>
      <c r="E188" s="3"/>
      <c r="F188" s="3"/>
      <c r="G188" s="3"/>
      <c r="H188" s="3"/>
      <c r="I188" s="3"/>
      <c r="J188" s="3"/>
      <c r="K188" s="3"/>
      <c r="L188" s="3"/>
      <c r="M188" s="3"/>
      <c r="N188" s="3"/>
      <c r="O188" s="3"/>
      <c r="P188" s="3"/>
    </row>
    <row r="189" spans="2:16" ht="18">
      <c r="B189" s="3"/>
      <c r="C189" s="3"/>
      <c r="D189" s="3"/>
      <c r="E189" s="3"/>
      <c r="F189" s="3"/>
      <c r="G189" s="3"/>
      <c r="H189" s="3"/>
      <c r="I189" s="3"/>
      <c r="J189" s="3"/>
      <c r="K189" s="3"/>
      <c r="L189" s="3"/>
      <c r="M189" s="3"/>
      <c r="N189" s="3"/>
      <c r="O189" s="3"/>
      <c r="P189" s="3"/>
    </row>
    <row r="190" spans="2:16" ht="18">
      <c r="B190" s="3"/>
      <c r="C190" s="3"/>
      <c r="D190" s="3"/>
      <c r="E190" s="3"/>
      <c r="F190" s="3"/>
      <c r="G190" s="3"/>
      <c r="H190" s="3"/>
      <c r="I190" s="3"/>
      <c r="J190" s="3"/>
      <c r="K190" s="3"/>
      <c r="L190" s="3"/>
      <c r="M190" s="3"/>
      <c r="N190" s="3"/>
      <c r="O190" s="3"/>
      <c r="P190" s="3"/>
    </row>
    <row r="191" spans="2:16" ht="18">
      <c r="B191" s="3"/>
      <c r="C191" s="3"/>
      <c r="D191" s="3"/>
      <c r="E191" s="3"/>
      <c r="F191" s="3"/>
      <c r="G191" s="3"/>
      <c r="H191" s="3"/>
      <c r="I191" s="3"/>
      <c r="J191" s="3"/>
      <c r="K191" s="3"/>
      <c r="L191" s="3"/>
      <c r="M191" s="3"/>
      <c r="N191" s="3"/>
      <c r="O191" s="3"/>
      <c r="P191" s="3"/>
    </row>
    <row r="192" spans="2:16" ht="18">
      <c r="B192" s="3"/>
      <c r="C192" s="3"/>
      <c r="D192" s="3"/>
      <c r="E192" s="3"/>
      <c r="F192" s="3"/>
      <c r="G192" s="3"/>
      <c r="H192" s="3"/>
      <c r="I192" s="3"/>
      <c r="J192" s="3"/>
      <c r="K192" s="3"/>
      <c r="L192" s="3"/>
      <c r="M192" s="3"/>
      <c r="N192" s="3"/>
      <c r="O192" s="3"/>
      <c r="P192" s="3"/>
    </row>
    <row r="193" spans="2:16" ht="18">
      <c r="B193" s="3"/>
      <c r="C193" s="3"/>
      <c r="D193" s="3"/>
      <c r="E193" s="3"/>
      <c r="F193" s="3"/>
      <c r="G193" s="3"/>
      <c r="H193" s="3"/>
      <c r="I193" s="3"/>
      <c r="J193" s="3"/>
      <c r="K193" s="3"/>
      <c r="L193" s="3"/>
      <c r="M193" s="3"/>
      <c r="N193" s="3"/>
      <c r="O193" s="3"/>
      <c r="P193" s="3"/>
    </row>
    <row r="194" spans="2:16" ht="18">
      <c r="B194" s="3"/>
      <c r="C194" s="3"/>
      <c r="D194" s="3"/>
      <c r="E194" s="3"/>
      <c r="F194" s="3"/>
      <c r="G194" s="3"/>
      <c r="H194" s="3"/>
      <c r="I194" s="3"/>
      <c r="J194" s="3"/>
      <c r="K194" s="3"/>
      <c r="L194" s="3"/>
      <c r="M194" s="3"/>
      <c r="N194" s="3"/>
      <c r="O194" s="3"/>
      <c r="P194" s="3"/>
    </row>
    <row r="195" spans="2:16" ht="18">
      <c r="B195" s="3"/>
      <c r="C195" s="3"/>
      <c r="D195" s="3"/>
      <c r="E195" s="3"/>
      <c r="F195" s="3"/>
      <c r="G195" s="3"/>
      <c r="H195" s="3"/>
      <c r="I195" s="3"/>
      <c r="J195" s="3"/>
      <c r="K195" s="3"/>
      <c r="L195" s="3"/>
      <c r="M195" s="3"/>
      <c r="N195" s="3"/>
      <c r="O195" s="3"/>
      <c r="P195" s="3"/>
    </row>
    <row r="196" spans="2:16" ht="18">
      <c r="B196" s="3"/>
      <c r="C196" s="3"/>
      <c r="D196" s="3"/>
      <c r="E196" s="3"/>
      <c r="F196" s="3"/>
      <c r="G196" s="3"/>
      <c r="H196" s="3"/>
      <c r="I196" s="3"/>
      <c r="J196" s="3"/>
      <c r="K196" s="3"/>
      <c r="L196" s="3"/>
      <c r="M196" s="3"/>
      <c r="N196" s="3"/>
      <c r="O196" s="3"/>
      <c r="P196" s="3"/>
    </row>
    <row r="197" spans="2:16" ht="18">
      <c r="B197" s="3"/>
      <c r="C197" s="3"/>
      <c r="D197" s="3"/>
      <c r="E197" s="3"/>
      <c r="F197" s="3"/>
      <c r="G197" s="3"/>
      <c r="H197" s="3"/>
      <c r="I197" s="3"/>
      <c r="J197" s="3"/>
      <c r="K197" s="3"/>
      <c r="L197" s="3"/>
      <c r="M197" s="3"/>
      <c r="N197" s="3"/>
      <c r="O197" s="3"/>
      <c r="P197" s="3"/>
    </row>
    <row r="198" spans="2:16" ht="18">
      <c r="B198" s="3"/>
      <c r="C198" s="3"/>
      <c r="D198" s="3"/>
      <c r="E198" s="3"/>
      <c r="F198" s="3"/>
      <c r="G198" s="3"/>
      <c r="H198" s="3"/>
      <c r="I198" s="3"/>
      <c r="J198" s="3"/>
      <c r="K198" s="3"/>
      <c r="L198" s="3"/>
      <c r="M198" s="3"/>
      <c r="N198" s="3"/>
      <c r="O198" s="3"/>
      <c r="P198" s="3"/>
    </row>
    <row r="199" spans="2:16" ht="18">
      <c r="B199" s="3"/>
      <c r="C199" s="3"/>
      <c r="D199" s="3"/>
      <c r="E199" s="3"/>
      <c r="F199" s="3"/>
      <c r="G199" s="3"/>
      <c r="H199" s="3"/>
      <c r="I199" s="3"/>
      <c r="J199" s="3"/>
      <c r="K199" s="3"/>
      <c r="L199" s="3"/>
      <c r="M199" s="3"/>
      <c r="N199" s="3"/>
      <c r="O199" s="3"/>
      <c r="P199" s="3"/>
    </row>
    <row r="200" spans="2:16" ht="18">
      <c r="B200" s="3"/>
      <c r="C200" s="3"/>
      <c r="D200" s="3"/>
      <c r="E200" s="3"/>
      <c r="F200" s="3"/>
      <c r="G200" s="3"/>
      <c r="H200" s="3"/>
      <c r="I200" s="3"/>
      <c r="J200" s="3"/>
      <c r="K200" s="3"/>
      <c r="L200" s="3"/>
      <c r="M200" s="3"/>
      <c r="N200" s="3"/>
      <c r="O200" s="3"/>
      <c r="P200" s="3"/>
    </row>
    <row r="201" spans="2:16" ht="18">
      <c r="B201" s="3"/>
      <c r="C201" s="3"/>
      <c r="D201" s="3"/>
      <c r="E201" s="3"/>
      <c r="F201" s="3"/>
      <c r="G201" s="3"/>
      <c r="H201" s="3"/>
      <c r="I201" s="3"/>
      <c r="J201" s="3"/>
      <c r="K201" s="3"/>
      <c r="L201" s="3"/>
      <c r="M201" s="3"/>
      <c r="N201" s="3"/>
      <c r="O201" s="3"/>
      <c r="P201" s="3"/>
    </row>
    <row r="202" spans="2:16" ht="18">
      <c r="B202" s="3"/>
      <c r="C202" s="3"/>
      <c r="D202" s="3"/>
      <c r="E202" s="3"/>
      <c r="F202" s="3"/>
      <c r="G202" s="3"/>
      <c r="H202" s="3"/>
      <c r="I202" s="3"/>
      <c r="J202" s="3"/>
      <c r="K202" s="3"/>
      <c r="L202" s="3"/>
      <c r="M202" s="3"/>
      <c r="N202" s="3"/>
      <c r="O202" s="3"/>
      <c r="P202" s="3"/>
    </row>
    <row r="203" spans="2:16" ht="18">
      <c r="B203" s="3"/>
      <c r="C203" s="3"/>
      <c r="D203" s="3"/>
      <c r="E203" s="3"/>
      <c r="F203" s="3"/>
      <c r="G203" s="3"/>
      <c r="H203" s="3"/>
      <c r="I203" s="3"/>
      <c r="J203" s="3"/>
      <c r="K203" s="3"/>
      <c r="L203" s="3"/>
      <c r="M203" s="3"/>
      <c r="N203" s="3"/>
      <c r="O203" s="3"/>
      <c r="P203" s="3"/>
    </row>
    <row r="204" spans="2:16" ht="18">
      <c r="B204" s="3"/>
      <c r="C204" s="3"/>
      <c r="D204" s="3"/>
      <c r="E204" s="3"/>
      <c r="F204" s="3"/>
      <c r="G204" s="3"/>
      <c r="H204" s="3"/>
      <c r="I204" s="3"/>
      <c r="J204" s="3"/>
      <c r="K204" s="3"/>
      <c r="L204" s="3"/>
      <c r="M204" s="3"/>
      <c r="N204" s="3"/>
      <c r="O204" s="3"/>
      <c r="P204" s="3"/>
    </row>
    <row r="205" spans="2:16" ht="18">
      <c r="B205" s="3"/>
      <c r="C205" s="3"/>
      <c r="D205" s="3"/>
      <c r="E205" s="3"/>
      <c r="F205" s="3"/>
      <c r="G205" s="3"/>
      <c r="H205" s="3"/>
      <c r="I205" s="3"/>
      <c r="J205" s="3"/>
      <c r="K205" s="3"/>
      <c r="L205" s="3"/>
      <c r="M205" s="3"/>
      <c r="N205" s="3"/>
      <c r="O205" s="3"/>
      <c r="P205" s="3"/>
    </row>
    <row r="206" spans="2:16" ht="18">
      <c r="B206" s="3"/>
      <c r="C206" s="3"/>
      <c r="D206" s="3"/>
      <c r="E206" s="3"/>
      <c r="F206" s="3"/>
      <c r="G206" s="3"/>
      <c r="H206" s="3"/>
      <c r="I206" s="3"/>
      <c r="J206" s="3"/>
      <c r="K206" s="3"/>
      <c r="L206" s="3"/>
      <c r="M206" s="3"/>
      <c r="N206" s="3"/>
      <c r="O206" s="3"/>
      <c r="P206" s="3"/>
    </row>
    <row r="207" spans="2:16" ht="18">
      <c r="B207" s="3"/>
      <c r="C207" s="3"/>
      <c r="D207" s="3"/>
      <c r="E207" s="3"/>
      <c r="F207" s="3"/>
      <c r="G207" s="3"/>
      <c r="H207" s="3"/>
      <c r="I207" s="3"/>
      <c r="J207" s="3"/>
      <c r="K207" s="3"/>
      <c r="L207" s="3"/>
      <c r="M207" s="3"/>
      <c r="N207" s="3"/>
      <c r="O207" s="3"/>
      <c r="P207" s="3"/>
    </row>
    <row r="208" spans="2:16" ht="18">
      <c r="B208" s="3"/>
      <c r="C208" s="3"/>
      <c r="D208" s="3"/>
      <c r="E208" s="3"/>
      <c r="F208" s="3"/>
      <c r="G208" s="3"/>
      <c r="H208" s="3"/>
      <c r="I208" s="3"/>
      <c r="J208" s="3"/>
      <c r="K208" s="3"/>
      <c r="L208" s="3"/>
      <c r="M208" s="3"/>
      <c r="N208" s="3"/>
      <c r="O208" s="3"/>
      <c r="P208" s="3"/>
    </row>
    <row r="209" spans="2:16" ht="18">
      <c r="B209" s="3"/>
      <c r="C209" s="3"/>
      <c r="D209" s="3"/>
      <c r="E209" s="3"/>
      <c r="F209" s="3"/>
      <c r="G209" s="3"/>
      <c r="H209" s="3"/>
      <c r="I209" s="3"/>
      <c r="J209" s="3"/>
      <c r="K209" s="3"/>
      <c r="L209" s="3"/>
      <c r="M209" s="3"/>
      <c r="N209" s="3"/>
      <c r="O209" s="3"/>
      <c r="P209" s="3"/>
    </row>
    <row r="210" spans="2:16" ht="18">
      <c r="B210" s="3"/>
      <c r="C210" s="3"/>
      <c r="D210" s="3"/>
      <c r="E210" s="3"/>
      <c r="F210" s="3"/>
      <c r="G210" s="3"/>
      <c r="H210" s="3"/>
      <c r="I210" s="3"/>
      <c r="J210" s="3"/>
      <c r="K210" s="3"/>
      <c r="L210" s="3"/>
      <c r="M210" s="3"/>
      <c r="N210" s="3"/>
      <c r="O210" s="3"/>
      <c r="P210" s="3"/>
    </row>
    <row r="211" spans="2:16" ht="18">
      <c r="B211" s="3"/>
      <c r="C211" s="3"/>
      <c r="D211" s="3"/>
      <c r="E211" s="3"/>
      <c r="F211" s="3"/>
      <c r="G211" s="3"/>
      <c r="H211" s="3"/>
      <c r="I211" s="3"/>
      <c r="J211" s="3"/>
      <c r="K211" s="3"/>
      <c r="L211" s="3"/>
      <c r="M211" s="3"/>
      <c r="N211" s="3"/>
      <c r="O211" s="3"/>
      <c r="P211" s="3"/>
    </row>
    <row r="212" spans="2:16" ht="18">
      <c r="B212" s="3"/>
      <c r="C212" s="3"/>
      <c r="D212" s="3"/>
      <c r="E212" s="3"/>
      <c r="F212" s="3"/>
      <c r="G212" s="3"/>
      <c r="H212" s="3"/>
      <c r="I212" s="3"/>
      <c r="J212" s="3"/>
      <c r="K212" s="3"/>
      <c r="L212" s="3"/>
      <c r="M212" s="3"/>
      <c r="N212" s="3"/>
      <c r="O212" s="3"/>
      <c r="P212" s="3"/>
    </row>
    <row r="213" spans="2:16" ht="18">
      <c r="B213" s="3"/>
      <c r="C213" s="3"/>
      <c r="D213" s="3"/>
      <c r="E213" s="3"/>
      <c r="F213" s="3"/>
      <c r="G213" s="3"/>
      <c r="H213" s="3"/>
      <c r="I213" s="3"/>
      <c r="J213" s="3"/>
      <c r="K213" s="3"/>
      <c r="L213" s="3"/>
      <c r="M213" s="3"/>
      <c r="N213" s="3"/>
      <c r="O213" s="3"/>
      <c r="P213" s="3"/>
    </row>
    <row r="214" spans="2:16" ht="18">
      <c r="B214" s="3"/>
      <c r="C214" s="3"/>
      <c r="D214" s="3"/>
      <c r="E214" s="3"/>
      <c r="F214" s="3"/>
      <c r="G214" s="3"/>
      <c r="H214" s="3"/>
      <c r="I214" s="3"/>
      <c r="J214" s="3"/>
      <c r="K214" s="3"/>
      <c r="L214" s="3"/>
      <c r="M214" s="3"/>
      <c r="N214" s="3"/>
      <c r="O214" s="3"/>
      <c r="P214" s="3"/>
    </row>
    <row r="215" spans="2:16" ht="18">
      <c r="B215" s="3"/>
      <c r="C215" s="3"/>
      <c r="D215" s="3"/>
      <c r="E215" s="3"/>
      <c r="F215" s="3"/>
      <c r="G215" s="3"/>
      <c r="H215" s="3"/>
      <c r="I215" s="3"/>
      <c r="J215" s="3"/>
      <c r="K215" s="3"/>
      <c r="L215" s="3"/>
      <c r="M215" s="3"/>
      <c r="N215" s="3"/>
      <c r="O215" s="3"/>
      <c r="P215" s="3"/>
    </row>
    <row r="216" spans="2:16" ht="18">
      <c r="B216" s="3"/>
      <c r="C216" s="3"/>
      <c r="D216" s="3"/>
      <c r="E216" s="3"/>
      <c r="F216" s="3"/>
      <c r="G216" s="3"/>
      <c r="H216" s="3"/>
      <c r="I216" s="3"/>
      <c r="J216" s="3"/>
      <c r="K216" s="3"/>
      <c r="L216" s="3"/>
      <c r="M216" s="3"/>
      <c r="N216" s="3"/>
      <c r="O216" s="3"/>
      <c r="P216" s="3"/>
    </row>
    <row r="217" spans="2:16" ht="18">
      <c r="B217" s="3"/>
      <c r="C217" s="3"/>
      <c r="D217" s="3"/>
      <c r="E217" s="3"/>
      <c r="F217" s="3"/>
      <c r="G217" s="3"/>
      <c r="H217" s="3"/>
      <c r="I217" s="3"/>
      <c r="J217" s="3"/>
      <c r="K217" s="3"/>
      <c r="L217" s="3"/>
      <c r="M217" s="3"/>
      <c r="N217" s="3"/>
      <c r="O217" s="3"/>
      <c r="P217" s="3"/>
    </row>
    <row r="218" spans="2:16" ht="18">
      <c r="B218" s="3"/>
      <c r="C218" s="3"/>
      <c r="D218" s="3"/>
      <c r="E218" s="3"/>
      <c r="F218" s="3"/>
      <c r="G218" s="3"/>
      <c r="H218" s="3"/>
      <c r="I218" s="3"/>
      <c r="J218" s="3"/>
      <c r="K218" s="3"/>
      <c r="L218" s="3"/>
      <c r="M218" s="3"/>
      <c r="N218" s="3"/>
      <c r="O218" s="3"/>
      <c r="P218" s="3"/>
    </row>
    <row r="219" spans="2:16" ht="18">
      <c r="B219" s="3"/>
      <c r="C219" s="3"/>
      <c r="D219" s="3"/>
      <c r="E219" s="3"/>
      <c r="F219" s="3"/>
      <c r="G219" s="3"/>
      <c r="H219" s="3"/>
      <c r="I219" s="3"/>
      <c r="J219" s="3"/>
      <c r="K219" s="3"/>
      <c r="L219" s="3"/>
      <c r="M219" s="3"/>
      <c r="N219" s="3"/>
      <c r="O219" s="3"/>
      <c r="P219" s="3"/>
    </row>
    <row r="220" spans="2:16" ht="18">
      <c r="B220" s="3"/>
      <c r="C220" s="3"/>
      <c r="D220" s="3"/>
      <c r="E220" s="3"/>
      <c r="F220" s="3"/>
      <c r="G220" s="3"/>
      <c r="H220" s="3"/>
      <c r="I220" s="3"/>
      <c r="J220" s="3"/>
      <c r="K220" s="3"/>
      <c r="L220" s="3"/>
      <c r="M220" s="3"/>
      <c r="N220" s="3"/>
      <c r="O220" s="3"/>
      <c r="P220" s="3"/>
    </row>
    <row r="221" spans="2:16" ht="18">
      <c r="B221" s="3"/>
      <c r="C221" s="3"/>
      <c r="D221" s="3"/>
      <c r="E221" s="3"/>
      <c r="F221" s="3"/>
      <c r="G221" s="3"/>
      <c r="H221" s="3"/>
      <c r="I221" s="3"/>
      <c r="J221" s="3"/>
      <c r="K221" s="3"/>
      <c r="L221" s="3"/>
      <c r="M221" s="3"/>
      <c r="N221" s="3"/>
      <c r="O221" s="3"/>
      <c r="P221" s="3"/>
    </row>
    <row r="222" spans="2:16" ht="18">
      <c r="B222" s="3"/>
      <c r="C222" s="3"/>
      <c r="D222" s="3"/>
      <c r="E222" s="3"/>
      <c r="F222" s="3"/>
      <c r="G222" s="3"/>
      <c r="H222" s="3"/>
      <c r="I222" s="3"/>
      <c r="J222" s="3"/>
      <c r="K222" s="3"/>
      <c r="L222" s="3"/>
      <c r="M222" s="3"/>
      <c r="N222" s="3"/>
      <c r="O222" s="3"/>
      <c r="P222" s="3"/>
    </row>
    <row r="223" spans="2:16" ht="18">
      <c r="B223" s="3"/>
      <c r="C223" s="3"/>
      <c r="D223" s="3"/>
      <c r="E223" s="3"/>
      <c r="F223" s="3"/>
      <c r="G223" s="3"/>
      <c r="H223" s="3"/>
      <c r="I223" s="3"/>
      <c r="J223" s="3"/>
      <c r="K223" s="3"/>
      <c r="L223" s="3"/>
      <c r="M223" s="3"/>
      <c r="N223" s="3"/>
      <c r="O223" s="3"/>
      <c r="P223" s="3"/>
    </row>
    <row r="224" spans="2:16" ht="18">
      <c r="B224" s="3"/>
      <c r="C224" s="3"/>
      <c r="D224" s="3"/>
      <c r="E224" s="3"/>
      <c r="F224" s="3"/>
      <c r="G224" s="3"/>
      <c r="H224" s="3"/>
      <c r="I224" s="3"/>
      <c r="J224" s="3"/>
      <c r="K224" s="3"/>
      <c r="L224" s="3"/>
      <c r="M224" s="3"/>
      <c r="N224" s="3"/>
      <c r="O224" s="3"/>
      <c r="P224" s="3"/>
    </row>
    <row r="225" spans="2:16" ht="18">
      <c r="B225" s="3"/>
      <c r="C225" s="3"/>
      <c r="D225" s="3"/>
      <c r="E225" s="3"/>
      <c r="F225" s="3"/>
      <c r="G225" s="3"/>
      <c r="H225" s="3"/>
      <c r="I225" s="3"/>
      <c r="J225" s="3"/>
      <c r="K225" s="3"/>
      <c r="L225" s="3"/>
      <c r="M225" s="3"/>
      <c r="N225" s="3"/>
      <c r="O225" s="3"/>
      <c r="P225" s="3"/>
    </row>
    <row r="226" spans="2:16" ht="18">
      <c r="B226" s="3"/>
      <c r="C226" s="3"/>
      <c r="D226" s="3"/>
      <c r="E226" s="3"/>
      <c r="F226" s="3"/>
      <c r="G226" s="3"/>
      <c r="H226" s="3"/>
      <c r="I226" s="3"/>
      <c r="J226" s="3"/>
      <c r="K226" s="3"/>
      <c r="L226" s="3"/>
      <c r="M226" s="3"/>
      <c r="N226" s="3"/>
      <c r="O226" s="3"/>
      <c r="P226" s="3"/>
    </row>
    <row r="227" spans="2:16" ht="18">
      <c r="B227" s="3"/>
      <c r="C227" s="3"/>
      <c r="D227" s="3"/>
      <c r="E227" s="3"/>
      <c r="F227" s="3"/>
      <c r="G227" s="3"/>
      <c r="H227" s="3"/>
      <c r="I227" s="3"/>
      <c r="J227" s="3"/>
      <c r="K227" s="3"/>
      <c r="L227" s="3"/>
      <c r="M227" s="3"/>
      <c r="N227" s="3"/>
      <c r="O227" s="3"/>
      <c r="P227" s="3"/>
    </row>
    <row r="228" spans="2:16" ht="18">
      <c r="B228" s="3"/>
      <c r="C228" s="3"/>
      <c r="D228" s="3"/>
      <c r="E228" s="3"/>
      <c r="F228" s="3"/>
      <c r="G228" s="3"/>
      <c r="H228" s="3"/>
      <c r="I228" s="3"/>
      <c r="J228" s="3"/>
      <c r="K228" s="3"/>
      <c r="L228" s="3"/>
      <c r="M228" s="3"/>
      <c r="N228" s="3"/>
      <c r="O228" s="3"/>
      <c r="P228" s="3"/>
    </row>
    <row r="229" spans="2:16" ht="18">
      <c r="B229" s="3"/>
      <c r="C229" s="3"/>
      <c r="D229" s="3"/>
      <c r="E229" s="3"/>
      <c r="F229" s="3"/>
      <c r="G229" s="3"/>
      <c r="H229" s="3"/>
      <c r="I229" s="3"/>
      <c r="J229" s="3"/>
      <c r="K229" s="3"/>
      <c r="L229" s="3"/>
      <c r="M229" s="3"/>
      <c r="N229" s="3"/>
      <c r="O229" s="3"/>
      <c r="P229" s="3"/>
    </row>
    <row r="230" spans="2:16" ht="18">
      <c r="B230" s="3"/>
      <c r="C230" s="3"/>
      <c r="D230" s="3"/>
      <c r="E230" s="3"/>
      <c r="F230" s="3"/>
      <c r="G230" s="3"/>
      <c r="H230" s="3"/>
      <c r="I230" s="3"/>
      <c r="J230" s="3"/>
      <c r="K230" s="3"/>
      <c r="L230" s="3"/>
      <c r="M230" s="3"/>
      <c r="N230" s="3"/>
      <c r="O230" s="3"/>
      <c r="P230" s="3"/>
    </row>
    <row r="231" spans="2:16" ht="18">
      <c r="B231" s="3"/>
      <c r="C231" s="3"/>
      <c r="D231" s="3"/>
      <c r="E231" s="3"/>
      <c r="F231" s="3"/>
      <c r="G231" s="3"/>
      <c r="H231" s="3"/>
      <c r="I231" s="3"/>
      <c r="J231" s="3"/>
      <c r="K231" s="3"/>
      <c r="L231" s="3"/>
      <c r="M231" s="3"/>
      <c r="N231" s="3"/>
      <c r="O231" s="3"/>
      <c r="P231" s="3"/>
    </row>
    <row r="232" spans="2:16" ht="18">
      <c r="B232" s="3"/>
      <c r="C232" s="3"/>
      <c r="D232" s="3"/>
      <c r="E232" s="3"/>
      <c r="F232" s="3"/>
      <c r="G232" s="3"/>
      <c r="H232" s="3"/>
      <c r="I232" s="3"/>
      <c r="J232" s="3"/>
      <c r="K232" s="3"/>
      <c r="L232" s="3"/>
      <c r="M232" s="3"/>
      <c r="N232" s="3"/>
      <c r="O232" s="3"/>
      <c r="P232" s="3"/>
    </row>
    <row r="233" spans="2:16" ht="18">
      <c r="B233" s="3"/>
      <c r="C233" s="3"/>
      <c r="D233" s="3"/>
      <c r="E233" s="3"/>
      <c r="F233" s="3"/>
      <c r="G233" s="3"/>
      <c r="H233" s="3"/>
      <c r="I233" s="3"/>
      <c r="J233" s="3"/>
      <c r="K233" s="3"/>
      <c r="L233" s="3"/>
      <c r="M233" s="3"/>
      <c r="N233" s="3"/>
      <c r="O233" s="3"/>
      <c r="P233" s="3"/>
    </row>
    <row r="234" spans="2:16" ht="18">
      <c r="B234" s="3"/>
      <c r="C234" s="3"/>
      <c r="D234" s="3"/>
      <c r="E234" s="3"/>
      <c r="F234" s="3"/>
      <c r="G234" s="3"/>
      <c r="H234" s="3"/>
      <c r="I234" s="3"/>
      <c r="J234" s="3"/>
      <c r="K234" s="3"/>
      <c r="L234" s="3"/>
      <c r="M234" s="3"/>
      <c r="N234" s="3"/>
      <c r="O234" s="3"/>
      <c r="P234" s="3"/>
    </row>
    <row r="235" spans="2:16" ht="18">
      <c r="B235" s="3"/>
      <c r="C235" s="3"/>
      <c r="D235" s="3"/>
      <c r="E235" s="3"/>
      <c r="F235" s="3"/>
      <c r="G235" s="3"/>
      <c r="H235" s="3"/>
      <c r="I235" s="3"/>
      <c r="J235" s="3"/>
      <c r="K235" s="3"/>
      <c r="L235" s="3"/>
      <c r="M235" s="3"/>
      <c r="N235" s="3"/>
      <c r="O235" s="3"/>
      <c r="P235" s="3"/>
    </row>
    <row r="236" spans="2:16" ht="18">
      <c r="B236" s="3"/>
      <c r="C236" s="3"/>
      <c r="D236" s="3"/>
      <c r="E236" s="3"/>
      <c r="F236" s="3"/>
      <c r="G236" s="3"/>
      <c r="H236" s="3"/>
      <c r="I236" s="3"/>
      <c r="J236" s="3"/>
      <c r="K236" s="3"/>
      <c r="L236" s="3"/>
      <c r="M236" s="3"/>
      <c r="N236" s="3"/>
      <c r="O236" s="3"/>
      <c r="P236" s="3"/>
    </row>
    <row r="237" spans="2:16" ht="18">
      <c r="B237" s="3"/>
      <c r="C237" s="3"/>
      <c r="D237" s="3"/>
      <c r="E237" s="3"/>
      <c r="F237" s="3"/>
      <c r="G237" s="3"/>
      <c r="H237" s="3"/>
      <c r="I237" s="3"/>
      <c r="J237" s="3"/>
      <c r="K237" s="3"/>
      <c r="L237" s="3"/>
      <c r="M237" s="3"/>
      <c r="N237" s="3"/>
      <c r="O237" s="3"/>
      <c r="P237" s="3"/>
    </row>
    <row r="238" spans="2:16" ht="18">
      <c r="B238" s="3"/>
      <c r="C238" s="3"/>
      <c r="D238" s="3"/>
      <c r="E238" s="3"/>
      <c r="F238" s="3"/>
      <c r="G238" s="3"/>
      <c r="H238" s="3"/>
      <c r="I238" s="3"/>
      <c r="J238" s="3"/>
      <c r="K238" s="3"/>
      <c r="L238" s="3"/>
      <c r="M238" s="3"/>
      <c r="N238" s="3"/>
      <c r="O238" s="3"/>
      <c r="P238" s="3"/>
    </row>
    <row r="239" spans="2:16" ht="18">
      <c r="B239" s="3"/>
      <c r="C239" s="3"/>
      <c r="D239" s="3"/>
      <c r="E239" s="3"/>
      <c r="F239" s="3"/>
      <c r="G239" s="3"/>
      <c r="H239" s="3"/>
      <c r="I239" s="3"/>
      <c r="J239" s="3"/>
      <c r="K239" s="3"/>
      <c r="L239" s="3"/>
      <c r="M239" s="3"/>
      <c r="N239" s="3"/>
      <c r="O239" s="3"/>
      <c r="P239" s="3"/>
    </row>
  </sheetData>
  <mergeCells count="5">
    <mergeCell ref="E19:F19"/>
    <mergeCell ref="E20:F20"/>
    <mergeCell ref="M12:N12"/>
    <mergeCell ref="M13:N13"/>
    <mergeCell ref="C25:D2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
  <sheetViews>
    <sheetView workbookViewId="0"/>
  </sheetViews>
  <sheetFormatPr baseColWidth="10" defaultRowHeight="15" x14ac:dyDescent="0"/>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Exercise Q1</vt:lpstr>
      <vt:lpstr>Exercise Q2</vt:lpstr>
      <vt:lpstr>Exercise Q3</vt:lpstr>
      <vt:lpstr>Application Q1</vt:lpstr>
      <vt:lpstr>Application Q2</vt:lpstr>
      <vt:lpstr>Sandbox Application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yicen wang</dc:creator>
  <cp:lastModifiedBy>yicen wang</cp:lastModifiedBy>
  <dcterms:created xsi:type="dcterms:W3CDTF">2015-09-25T00:27:45Z</dcterms:created>
  <dcterms:modified xsi:type="dcterms:W3CDTF">2015-10-01T03:01:54Z</dcterms:modified>
</cp:coreProperties>
</file>