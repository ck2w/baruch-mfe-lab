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quan\Documents\Baruch MFE\MTH9814\HW5\"/>
    </mc:Choice>
  </mc:AlternateContent>
  <bookViews>
    <workbookView xWindow="0" yWindow="0" windowWidth="19200" windowHeight="8292"/>
  </bookViews>
  <sheets>
    <sheet name="Exercise 1" sheetId="1" r:id="rId1"/>
    <sheet name="Exercise 2" sheetId="2" r:id="rId2"/>
    <sheet name="Exercise 3" sheetId="3" r:id="rId3"/>
    <sheet name="Exercise 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4" l="1"/>
  <c r="B48" i="4"/>
  <c r="F36" i="4"/>
  <c r="B28" i="4"/>
  <c r="B26" i="4"/>
  <c r="B9" i="4"/>
  <c r="B39" i="3"/>
  <c r="F36" i="3"/>
  <c r="B24" i="3"/>
  <c r="B10" i="3"/>
  <c r="B11" i="3" s="1"/>
  <c r="B10" i="4" l="1"/>
  <c r="B12" i="3"/>
  <c r="F39" i="3"/>
  <c r="D37" i="3"/>
  <c r="F20" i="3"/>
  <c r="F21" i="3" s="1"/>
  <c r="B15" i="3"/>
  <c r="F35" i="3"/>
  <c r="F24" i="3"/>
  <c r="F25" i="3" s="1"/>
  <c r="D22" i="3"/>
  <c r="D39" i="3"/>
  <c r="F21" i="4" l="1"/>
  <c r="F23" i="4" s="1"/>
  <c r="F24" i="4" s="1"/>
  <c r="F43" i="4"/>
  <c r="F45" i="4" s="1"/>
  <c r="F46" i="4" s="1"/>
  <c r="F49" i="4"/>
  <c r="F51" i="4" s="1"/>
  <c r="F52" i="4" s="1"/>
  <c r="D23" i="4"/>
  <c r="D25" i="4" s="1"/>
  <c r="B11" i="4"/>
  <c r="D45" i="4"/>
  <c r="D47" i="4" s="1"/>
  <c r="B14" i="4"/>
  <c r="D24" i="3"/>
  <c r="D28" i="3"/>
  <c r="D27" i="3"/>
  <c r="F28" i="3"/>
  <c r="D41" i="3"/>
  <c r="F43" i="3"/>
  <c r="F44" i="3" s="1"/>
  <c r="D43" i="3" s="1"/>
  <c r="D26" i="3"/>
  <c r="B14" i="3"/>
  <c r="D23" i="3" s="1"/>
  <c r="D46" i="4" l="1"/>
  <c r="D49" i="4"/>
  <c r="F33" i="4"/>
  <c r="D29" i="4"/>
  <c r="D31" i="4" s="1"/>
  <c r="F55" i="4"/>
  <c r="F57" i="4" s="1"/>
  <c r="F58" i="4" s="1"/>
  <c r="D55" i="4" s="1"/>
  <c r="D51" i="4"/>
  <c r="D53" i="4" s="1"/>
  <c r="B13" i="4"/>
  <c r="D52" i="4" s="1"/>
  <c r="D27" i="4"/>
  <c r="D48" i="4"/>
  <c r="F27" i="4"/>
  <c r="F29" i="4" s="1"/>
  <c r="F30" i="4" s="1"/>
  <c r="B26" i="3"/>
  <c r="B25" i="3"/>
  <c r="D42" i="3"/>
  <c r="D38" i="3"/>
  <c r="B48" i="1"/>
  <c r="B20" i="1"/>
  <c r="D32" i="4" l="1"/>
  <c r="D54" i="4"/>
  <c r="B52" i="4" s="1"/>
  <c r="D33" i="4"/>
  <c r="D30" i="4"/>
  <c r="D24" i="4"/>
  <c r="D26" i="4" s="1"/>
  <c r="B40" i="3"/>
  <c r="B41" i="3"/>
  <c r="B30" i="2"/>
  <c r="E30" i="2" s="1"/>
  <c r="F30" i="2" s="1"/>
  <c r="B29" i="2"/>
  <c r="E29" i="2" s="1"/>
  <c r="F29" i="2" s="1"/>
  <c r="B28" i="2"/>
  <c r="E28" i="2" s="1"/>
  <c r="F28" i="2" s="1"/>
  <c r="B27" i="2"/>
  <c r="E27" i="2" s="1"/>
  <c r="F27" i="2" s="1"/>
  <c r="G27" i="2" s="1"/>
  <c r="H27" i="2" s="1"/>
  <c r="B26" i="2"/>
  <c r="E26" i="2" s="1"/>
  <c r="F26" i="2" s="1"/>
  <c r="B25" i="2"/>
  <c r="E25" i="2" s="1"/>
  <c r="F25" i="2" s="1"/>
  <c r="G25" i="2" s="1"/>
  <c r="H25" i="2" s="1"/>
  <c r="F16" i="2"/>
  <c r="G16" i="2" s="1"/>
  <c r="H16" i="2" s="1"/>
  <c r="E12" i="2"/>
  <c r="B17" i="2"/>
  <c r="F17" i="2" s="1"/>
  <c r="G17" i="2" s="1"/>
  <c r="H17" i="2" s="1"/>
  <c r="B16" i="2"/>
  <c r="E16" i="2" s="1"/>
  <c r="B15" i="2"/>
  <c r="F15" i="2" s="1"/>
  <c r="G15" i="2" s="1"/>
  <c r="H15" i="2" s="1"/>
  <c r="B14" i="2"/>
  <c r="F14" i="2" s="1"/>
  <c r="G14" i="2" s="1"/>
  <c r="H14" i="2" s="1"/>
  <c r="I14" i="2" s="1"/>
  <c r="B13" i="2"/>
  <c r="F13" i="2" s="1"/>
  <c r="G13" i="2" s="1"/>
  <c r="H13" i="2" s="1"/>
  <c r="I13" i="2" s="1"/>
  <c r="B12" i="2"/>
  <c r="F12" i="2" s="1"/>
  <c r="G12" i="2" s="1"/>
  <c r="H12" i="2" s="1"/>
  <c r="I12" i="2" s="1"/>
  <c r="J12" i="2" s="1"/>
  <c r="B7" i="2"/>
  <c r="B6" i="2"/>
  <c r="B5" i="2"/>
  <c r="B4" i="2"/>
  <c r="B3" i="2"/>
  <c r="B2" i="2"/>
  <c r="B37" i="1"/>
  <c r="D5" i="1"/>
  <c r="D9" i="1"/>
  <c r="D10" i="1"/>
  <c r="D11" i="1"/>
  <c r="D12" i="1"/>
  <c r="B27" i="1"/>
  <c r="B26" i="1"/>
  <c r="B25" i="1"/>
  <c r="B8" i="1"/>
  <c r="D8" i="1" s="1"/>
  <c r="B7" i="1"/>
  <c r="D7" i="1" s="1"/>
  <c r="B6" i="1"/>
  <c r="D6" i="1" s="1"/>
  <c r="C27" i="1" s="1"/>
  <c r="B4" i="1"/>
  <c r="D4" i="1" s="1"/>
  <c r="C26" i="1" s="1"/>
  <c r="D26" i="1" s="1"/>
  <c r="B3" i="1"/>
  <c r="D3" i="1" s="1"/>
  <c r="A41" i="1" s="1"/>
  <c r="B43" i="1" s="1"/>
  <c r="B2" i="1"/>
  <c r="D2" i="1" s="1"/>
  <c r="C25" i="1" s="1"/>
  <c r="D25" i="1" s="1"/>
  <c r="B27" i="4" l="1"/>
  <c r="B29" i="4" s="1"/>
  <c r="B30" i="4"/>
  <c r="B49" i="4"/>
  <c r="B51" i="4" s="1"/>
  <c r="I16" i="2"/>
  <c r="J16" i="2" s="1"/>
  <c r="G29" i="2"/>
  <c r="H29" i="2" s="1"/>
  <c r="J14" i="2"/>
  <c r="I15" i="2"/>
  <c r="J15" i="2" s="1"/>
  <c r="G28" i="2"/>
  <c r="H28" i="2" s="1"/>
  <c r="G26" i="2"/>
  <c r="H26" i="2" s="1"/>
  <c r="G30" i="2"/>
  <c r="H30" i="2" s="1"/>
  <c r="E13" i="2"/>
  <c r="J13" i="2" s="1"/>
  <c r="E14" i="2"/>
  <c r="E15" i="2"/>
  <c r="E17" i="2"/>
  <c r="D27" i="1"/>
  <c r="A30" i="1" s="1"/>
  <c r="B32" i="1" s="1"/>
  <c r="I17" i="2"/>
  <c r="J17" i="2" l="1"/>
</calcChain>
</file>

<file path=xl/sharedStrings.xml><?xml version="1.0" encoding="utf-8"?>
<sst xmlns="http://schemas.openxmlformats.org/spreadsheetml/2006/main" count="198" uniqueCount="75">
  <si>
    <t>r</t>
  </si>
  <si>
    <t>Let F be the forward price.</t>
  </si>
  <si>
    <t>The following two portfolios have the same payout in 9 months, so the initial set-up cost should match:</t>
  </si>
  <si>
    <t>1. At time 0, buy 6m ZCB with notional F and enter into the forward contract (long) with strike K=F.</t>
  </si>
  <si>
    <t>2. At time 0, buy 9m ZCB with notional 100.</t>
  </si>
  <si>
    <t>Thus, F * P_0.5 = 100 * P_0.75</t>
  </si>
  <si>
    <t>Bond cash flow:</t>
  </si>
  <si>
    <t>The adjusted spot price of the asset excluding the cashflow before the expiry of the forward contract is</t>
  </si>
  <si>
    <t>Thus, the forward price must be</t>
  </si>
  <si>
    <t>F = S_0 * e^(r-q)T</t>
  </si>
  <si>
    <t>Thus,</t>
  </si>
  <si>
    <t>Forward price of 3 shares in 6 months:</t>
  </si>
  <si>
    <t>Thus, the answer is</t>
  </si>
  <si>
    <t>1/discountFactor</t>
  </si>
  <si>
    <t>Explanation: q_i represents the continuously compounded divdend rate from t_prev to t.</t>
  </si>
  <si>
    <t>Here, e^rt is 1/discountFactor.</t>
  </si>
  <si>
    <t xml:space="preserve">Explanation: we know that </t>
  </si>
  <si>
    <t>Forward Price = (Spot Price - Adjustment) *e^rt</t>
  </si>
  <si>
    <t>where adjustment is the present value of the cashflow (dividends) before the forward contract expiry.</t>
  </si>
  <si>
    <t>Dividend Amount</t>
  </si>
  <si>
    <t>Time</t>
  </si>
  <si>
    <t>Zero Rate</t>
  </si>
  <si>
    <t>Discount Factor</t>
  </si>
  <si>
    <t>Time (years)</t>
  </si>
  <si>
    <t>3M</t>
  </si>
  <si>
    <t>6M</t>
  </si>
  <si>
    <t>9M</t>
  </si>
  <si>
    <t>1Y</t>
  </si>
  <si>
    <t>15M</t>
  </si>
  <si>
    <t>18M</t>
  </si>
  <si>
    <t>21M</t>
  </si>
  <si>
    <t>2Y</t>
  </si>
  <si>
    <t>3Y</t>
  </si>
  <si>
    <t>4Y</t>
  </si>
  <si>
    <t>5Y</t>
  </si>
  <si>
    <t>Part (a)</t>
  </si>
  <si>
    <t xml:space="preserve">Forward Price = </t>
  </si>
  <si>
    <t>Part (b)</t>
  </si>
  <si>
    <t>Cash flow amount</t>
  </si>
  <si>
    <t>Present Value</t>
  </si>
  <si>
    <t>Part (c )</t>
  </si>
  <si>
    <t>Part (d)</t>
  </si>
  <si>
    <t>Note: with a 3-for-1 stock split, each stockholder receives two additional shares for</t>
  </si>
  <si>
    <t>each share held, but the value of each share is reduced by 2/3: three shares now</t>
  </si>
  <si>
    <t>equal the original value of one share before the 3-for-1 stock split.</t>
  </si>
  <si>
    <t>Part (e )</t>
  </si>
  <si>
    <t>Time (months)</t>
  </si>
  <si>
    <t>Forward Price</t>
  </si>
  <si>
    <t>Time Interval</t>
  </si>
  <si>
    <t>Dividend Rate</t>
  </si>
  <si>
    <t xml:space="preserve">Note that </t>
  </si>
  <si>
    <t>S_0</t>
  </si>
  <si>
    <t>q</t>
  </si>
  <si>
    <t>T</t>
  </si>
  <si>
    <t>sigma</t>
  </si>
  <si>
    <t>From the lecture notes, we know the formulas to compute p_u and p_d: probabilities of up and down moves at each step.</t>
  </si>
  <si>
    <t>time step (delta t)</t>
  </si>
  <si>
    <t>u</t>
  </si>
  <si>
    <t>d</t>
  </si>
  <si>
    <t>p_u</t>
  </si>
  <si>
    <t>p_d</t>
  </si>
  <si>
    <t>Part A</t>
  </si>
  <si>
    <t>K</t>
  </si>
  <si>
    <t>S</t>
  </si>
  <si>
    <t>V</t>
  </si>
  <si>
    <t>Delta</t>
  </si>
  <si>
    <t>Part B</t>
  </si>
  <si>
    <t>delta t</t>
  </si>
  <si>
    <t>Continue</t>
  </si>
  <si>
    <t>Exercise</t>
  </si>
  <si>
    <t>Value</t>
  </si>
  <si>
    <t>exp(rt)</t>
  </si>
  <si>
    <t>Month-End Dividend PV</t>
  </si>
  <si>
    <t>Adjustment Dividend PV</t>
  </si>
  <si>
    <t>F = Current Exchange Rate * exp((foreign risk free rate - domestic risk free rate)  * 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</si>
</sst>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0" fontId="4" fillId="3" borderId="2" applyNumberFormat="0" applyAlignment="0" applyProtection="0"/>
    <xf numFmtId="0" fontId="5" fillId="4" borderId="3" applyNumberFormat="0" applyAlignment="0" applyProtection="0"/>
    <xf numFmtId="0" fontId="2" fillId="5" borderId="4" applyNumberFormat="0" applyFont="0" applyAlignment="0" applyProtection="0"/>
  </cellStyleXfs>
  <cellXfs count="21">
    <xf numFmtId="0" fontId="0" fillId="0" borderId="0" xfId="0"/>
    <xf numFmtId="0" fontId="1" fillId="2" borderId="0" xfId="0" applyFont="1" applyFill="1"/>
    <xf numFmtId="0" fontId="3" fillId="0" borderId="1" xfId="1"/>
    <xf numFmtId="0" fontId="4" fillId="3" borderId="2" xfId="2"/>
    <xf numFmtId="0" fontId="3" fillId="0" borderId="1" xfId="1" applyAlignment="1">
      <alignment horizontal="right"/>
    </xf>
    <xf numFmtId="0" fontId="1" fillId="0" borderId="0" xfId="0" applyFont="1"/>
    <xf numFmtId="0" fontId="0" fillId="5" borderId="4" xfId="4" applyFont="1"/>
    <xf numFmtId="0" fontId="5" fillId="4" borderId="3" xfId="3"/>
    <xf numFmtId="164" fontId="4" fillId="3" borderId="2" xfId="2" applyNumberFormat="1"/>
    <xf numFmtId="0" fontId="1" fillId="6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5" borderId="4" xfId="4" applyFont="1" applyAlignment="1">
      <alignment horizontal="left"/>
    </xf>
  </cellXfs>
  <cellStyles count="5">
    <cellStyle name="Heading 3" xfId="1" builtinId="18"/>
    <cellStyle name="Input" xfId="2" builtinId="20"/>
    <cellStyle name="Normal" xfId="0" builtinId="0"/>
    <cellStyle name="Note" xfId="4" builtinId="1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1078230</xdr:colOff>
      <xdr:row>10</xdr:row>
      <xdr:rowOff>19050</xdr:rowOff>
    </xdr:from>
    <xdr:ext cx="1584960" cy="274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5848350" y="1851660"/>
              <a:ext cx="158496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nary>
                          <m:naryPr>
                            <m:chr m:val="∑"/>
                            <m:limLoc m:val="subSup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5"/>
                              </m:rPr>
                              <a:rPr lang="en-US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848350" y="1851660"/>
              <a:ext cx="158496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𝑒^∑26_(𝑗=1)^𝑖▒〖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(𝑡_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−𝑡_(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1565910</xdr:colOff>
      <xdr:row>10</xdr:row>
      <xdr:rowOff>0</xdr:rowOff>
    </xdr:from>
    <xdr:ext cx="1424940" cy="3200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7421880" y="1832610"/>
              <a:ext cx="1424940" cy="320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limLoc m:val="subSup"/>
                        <m:ctrlPr>
                          <a:rPr lang="en-US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5"/>
                          </m:rPr>
                          <a:rPr lang="en-US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  <m:e>
                        <m:sSub>
                          <m:sSubPr>
                            <m:ctrlP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b>
                            <m: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US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b>
                            <m: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US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b>
                            <m: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  <m:r>
                              <a:rPr lang="en-US" sz="9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US" sz="9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US" sz="105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421880" y="1832610"/>
              <a:ext cx="1424940" cy="320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9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∑2_(𝑗=1)^𝑖▒〖𝑞_𝑗 (𝑡_𝑗−𝑡_(𝑗−1))〗</a:t>
              </a:r>
              <a:endParaRPr lang="en-US" sz="1050"/>
            </a:p>
          </xdr:txBody>
        </xdr:sp>
      </mc:Fallback>
    </mc:AlternateContent>
    <xdr:clientData/>
  </xdr:oneCellAnchor>
  <xdr:oneCellAnchor>
    <xdr:from>
      <xdr:col>8</xdr:col>
      <xdr:colOff>7620</xdr:colOff>
      <xdr:row>10</xdr:row>
      <xdr:rowOff>38100</xdr:rowOff>
    </xdr:from>
    <xdr:ext cx="1203960" cy="327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862060" y="1870710"/>
              <a:ext cx="1203960" cy="327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862060" y="1870710"/>
              <a:ext cx="1203960" cy="327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𝑞_𝑖 (𝑡_𝑖−𝑡_(𝑖−1))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902970</xdr:colOff>
      <xdr:row>19</xdr:row>
      <xdr:rowOff>3810</xdr:rowOff>
    </xdr:from>
    <xdr:ext cx="2011680" cy="262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927860" y="3611880"/>
              <a:ext cx="2011680" cy="262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nary>
                          <m:naryPr>
                            <m:chr m:val="∑"/>
                            <m:limLoc m:val="subSup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5"/>
                              </m:r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927860" y="3611880"/>
              <a:ext cx="2011680" cy="262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𝐹_𝑖=𝑆_0  𝑒^(𝑟𝑡_𝑖 )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𝑒〗^∑2_(𝑗=1)^𝑖▒〖𝑞_𝑗 (𝑡_𝑗−𝑡_(𝑗−1))〗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8"/>
  <sheetViews>
    <sheetView tabSelected="1" topLeftCell="A40" workbookViewId="0">
      <selection activeCell="A47" sqref="A47"/>
    </sheetView>
  </sheetViews>
  <sheetFormatPr defaultRowHeight="14.4" x14ac:dyDescent="0.55000000000000004"/>
  <cols>
    <col min="1" max="1" width="14.3125" customWidth="1"/>
    <col min="2" max="2" width="17.20703125" customWidth="1"/>
    <col min="3" max="3" width="13.9453125" customWidth="1"/>
    <col min="4" max="4" width="16.1015625" customWidth="1"/>
  </cols>
  <sheetData>
    <row r="1" spans="1:7" ht="14.7" thickBot="1" x14ac:dyDescent="0.6">
      <c r="A1" s="2" t="s">
        <v>20</v>
      </c>
      <c r="B1" s="4" t="s">
        <v>23</v>
      </c>
      <c r="C1" s="4" t="s">
        <v>21</v>
      </c>
      <c r="D1" s="4" t="s">
        <v>22</v>
      </c>
    </row>
    <row r="2" spans="1:7" x14ac:dyDescent="0.55000000000000004">
      <c r="A2" s="3" t="s">
        <v>24</v>
      </c>
      <c r="B2" s="3">
        <f>3/12</f>
        <v>0.25</v>
      </c>
      <c r="C2" s="3">
        <v>2.5000000000000001E-2</v>
      </c>
      <c r="D2" s="3">
        <f>EXP(-B2*C2)</f>
        <v>0.9937694906233947</v>
      </c>
    </row>
    <row r="3" spans="1:7" x14ac:dyDescent="0.55000000000000004">
      <c r="A3" s="3" t="s">
        <v>25</v>
      </c>
      <c r="B3" s="3">
        <f>6/12</f>
        <v>0.5</v>
      </c>
      <c r="C3" s="3">
        <v>2.7E-2</v>
      </c>
      <c r="D3" s="3">
        <f t="shared" ref="D3:D12" si="0">EXP(-B3*C3)</f>
        <v>0.98659071631773265</v>
      </c>
    </row>
    <row r="4" spans="1:7" x14ac:dyDescent="0.55000000000000004">
      <c r="A4" s="3" t="s">
        <v>26</v>
      </c>
      <c r="B4" s="3">
        <f>9/12</f>
        <v>0.75</v>
      </c>
      <c r="C4" s="3">
        <v>0.03</v>
      </c>
      <c r="D4" s="3">
        <f t="shared" si="0"/>
        <v>0.97775123719333634</v>
      </c>
    </row>
    <row r="5" spans="1:7" x14ac:dyDescent="0.55000000000000004">
      <c r="A5" s="3" t="s">
        <v>27</v>
      </c>
      <c r="B5" s="3">
        <v>1</v>
      </c>
      <c r="C5" s="3">
        <v>2.8500000000000001E-2</v>
      </c>
      <c r="D5" s="3">
        <f t="shared" si="0"/>
        <v>0.9719022941461366</v>
      </c>
    </row>
    <row r="6" spans="1:7" x14ac:dyDescent="0.55000000000000004">
      <c r="A6" s="3" t="s">
        <v>28</v>
      </c>
      <c r="B6" s="3">
        <f>15/12</f>
        <v>1.25</v>
      </c>
      <c r="C6" s="3">
        <v>2.9499999999999998E-2</v>
      </c>
      <c r="D6" s="3">
        <f t="shared" si="0"/>
        <v>0.96379660239500564</v>
      </c>
    </row>
    <row r="7" spans="1:7" x14ac:dyDescent="0.55000000000000004">
      <c r="A7" s="3" t="s">
        <v>29</v>
      </c>
      <c r="B7" s="3">
        <f>18/12</f>
        <v>1.5</v>
      </c>
      <c r="C7" s="3">
        <v>0.03</v>
      </c>
      <c r="D7" s="3">
        <f t="shared" si="0"/>
        <v>0.95599748183309996</v>
      </c>
    </row>
    <row r="8" spans="1:7" x14ac:dyDescent="0.55000000000000004">
      <c r="A8" s="3" t="s">
        <v>30</v>
      </c>
      <c r="B8" s="3">
        <f>21/12</f>
        <v>1.75</v>
      </c>
      <c r="C8" s="3">
        <v>3.0499999999999999E-2</v>
      </c>
      <c r="D8" s="3">
        <f t="shared" si="0"/>
        <v>0.94802443665225233</v>
      </c>
    </row>
    <row r="9" spans="1:7" x14ac:dyDescent="0.55000000000000004">
      <c r="A9" s="3" t="s">
        <v>31</v>
      </c>
      <c r="B9" s="3">
        <v>2</v>
      </c>
      <c r="C9" s="3">
        <v>3.1E-2</v>
      </c>
      <c r="D9" s="3">
        <f t="shared" si="0"/>
        <v>0.93988288679108889</v>
      </c>
    </row>
    <row r="10" spans="1:7" x14ac:dyDescent="0.55000000000000004">
      <c r="A10" s="3" t="s">
        <v>32</v>
      </c>
      <c r="B10" s="3">
        <v>3</v>
      </c>
      <c r="C10" s="3">
        <v>0.04</v>
      </c>
      <c r="D10" s="3">
        <f t="shared" si="0"/>
        <v>0.88692043671715748</v>
      </c>
    </row>
    <row r="11" spans="1:7" x14ac:dyDescent="0.55000000000000004">
      <c r="A11" s="3" t="s">
        <v>33</v>
      </c>
      <c r="B11" s="3">
        <v>4</v>
      </c>
      <c r="C11" s="3">
        <v>4.65E-2</v>
      </c>
      <c r="D11" s="3">
        <f t="shared" si="0"/>
        <v>0.83027359498193265</v>
      </c>
    </row>
    <row r="12" spans="1:7" x14ac:dyDescent="0.55000000000000004">
      <c r="A12" s="3" t="s">
        <v>34</v>
      </c>
      <c r="B12" s="3">
        <v>5</v>
      </c>
      <c r="C12" s="3">
        <v>0.05</v>
      </c>
      <c r="D12" s="3">
        <f t="shared" si="0"/>
        <v>0.77880078307140488</v>
      </c>
    </row>
    <row r="14" spans="1:7" x14ac:dyDescent="0.55000000000000004">
      <c r="A14" s="5" t="s">
        <v>35</v>
      </c>
    </row>
    <row r="15" spans="1:7" x14ac:dyDescent="0.55000000000000004">
      <c r="A15" s="6" t="s">
        <v>1</v>
      </c>
      <c r="B15" s="6"/>
      <c r="C15" s="6"/>
      <c r="D15" s="6"/>
      <c r="E15" s="6"/>
      <c r="F15" s="6"/>
      <c r="G15" s="6"/>
    </row>
    <row r="16" spans="1:7" x14ac:dyDescent="0.55000000000000004">
      <c r="A16" s="6" t="s">
        <v>2</v>
      </c>
      <c r="B16" s="6"/>
      <c r="C16" s="6"/>
      <c r="D16" s="6"/>
      <c r="E16" s="6"/>
      <c r="F16" s="6"/>
      <c r="G16" s="6"/>
    </row>
    <row r="17" spans="1:7" x14ac:dyDescent="0.55000000000000004">
      <c r="A17" s="6" t="s">
        <v>3</v>
      </c>
      <c r="B17" s="6"/>
      <c r="C17" s="6"/>
      <c r="D17" s="6"/>
      <c r="E17" s="6"/>
      <c r="F17" s="6"/>
      <c r="G17" s="6"/>
    </row>
    <row r="18" spans="1:7" x14ac:dyDescent="0.55000000000000004">
      <c r="A18" s="6" t="s">
        <v>4</v>
      </c>
      <c r="B18" s="6"/>
      <c r="C18" s="6"/>
      <c r="D18" s="6"/>
      <c r="E18" s="6"/>
      <c r="F18" s="6"/>
      <c r="G18" s="6"/>
    </row>
    <row r="19" spans="1:7" x14ac:dyDescent="0.55000000000000004">
      <c r="A19" s="6" t="s">
        <v>5</v>
      </c>
      <c r="B19" s="6"/>
      <c r="C19" s="6"/>
      <c r="D19" s="6"/>
      <c r="E19" s="6"/>
      <c r="F19" s="6"/>
      <c r="G19" s="6"/>
    </row>
    <row r="20" spans="1:7" ht="14.7" thickBot="1" x14ac:dyDescent="0.6">
      <c r="A20" s="2" t="s">
        <v>36</v>
      </c>
      <c r="B20" s="1">
        <f>100*D4/D3</f>
        <v>99.104037877288363</v>
      </c>
    </row>
    <row r="22" spans="1:7" x14ac:dyDescent="0.55000000000000004">
      <c r="A22" s="5" t="s">
        <v>37</v>
      </c>
    </row>
    <row r="23" spans="1:7" x14ac:dyDescent="0.55000000000000004">
      <c r="A23" t="s">
        <v>6</v>
      </c>
    </row>
    <row r="24" spans="1:7" ht="14.7" thickBot="1" x14ac:dyDescent="0.6">
      <c r="A24" s="2" t="s">
        <v>20</v>
      </c>
      <c r="B24" s="2" t="s">
        <v>38</v>
      </c>
      <c r="C24" s="2" t="s">
        <v>22</v>
      </c>
      <c r="D24" s="2" t="s">
        <v>39</v>
      </c>
    </row>
    <row r="25" spans="1:7" x14ac:dyDescent="0.55000000000000004">
      <c r="A25" s="3">
        <v>0.25</v>
      </c>
      <c r="B25" s="3">
        <f>100*0.05/2</f>
        <v>2.5</v>
      </c>
      <c r="C25" s="3">
        <f>D2</f>
        <v>0.9937694906233947</v>
      </c>
      <c r="D25" s="3">
        <f>C25*B25</f>
        <v>2.4844237265584868</v>
      </c>
    </row>
    <row r="26" spans="1:7" x14ac:dyDescent="0.55000000000000004">
      <c r="A26" s="3">
        <v>0.75</v>
      </c>
      <c r="B26" s="3">
        <f>100*0.05/2</f>
        <v>2.5</v>
      </c>
      <c r="C26" s="3">
        <f>D4</f>
        <v>0.97775123719333634</v>
      </c>
      <c r="D26" s="3">
        <f t="shared" ref="D26:D27" si="1">C26*B26</f>
        <v>2.444378092983341</v>
      </c>
    </row>
    <row r="27" spans="1:7" x14ac:dyDescent="0.55000000000000004">
      <c r="A27" s="3">
        <v>1.25</v>
      </c>
      <c r="B27" s="3">
        <f>100*0.05/2 +100</f>
        <v>102.5</v>
      </c>
      <c r="C27" s="3">
        <f>D6</f>
        <v>0.96379660239500564</v>
      </c>
      <c r="D27" s="3">
        <f t="shared" si="1"/>
        <v>98.789151745488084</v>
      </c>
    </row>
    <row r="29" spans="1:7" x14ac:dyDescent="0.55000000000000004">
      <c r="A29" s="6" t="s">
        <v>7</v>
      </c>
      <c r="B29" s="6"/>
      <c r="C29" s="6"/>
      <c r="D29" s="6"/>
      <c r="E29" s="6"/>
      <c r="F29" s="6"/>
      <c r="G29" s="6"/>
    </row>
    <row r="30" spans="1:7" x14ac:dyDescent="0.55000000000000004">
      <c r="A30" s="7">
        <f>D26+D27</f>
        <v>101.23352983847143</v>
      </c>
    </row>
    <row r="31" spans="1:7" x14ac:dyDescent="0.55000000000000004">
      <c r="A31" s="6" t="s">
        <v>8</v>
      </c>
      <c r="B31" s="6"/>
    </row>
    <row r="32" spans="1:7" ht="14.7" thickBot="1" x14ac:dyDescent="0.6">
      <c r="A32" s="2" t="s">
        <v>36</v>
      </c>
      <c r="B32" s="1">
        <f>A30/D3</f>
        <v>102.60944904925402</v>
      </c>
    </row>
    <row r="34" spans="1:8" x14ac:dyDescent="0.55000000000000004">
      <c r="A34" s="5" t="s">
        <v>40</v>
      </c>
    </row>
    <row r="35" spans="1:8" x14ac:dyDescent="0.55000000000000004">
      <c r="A35" s="6" t="s">
        <v>9</v>
      </c>
    </row>
    <row r="36" spans="1:8" x14ac:dyDescent="0.55000000000000004">
      <c r="A36" t="s">
        <v>10</v>
      </c>
    </row>
    <row r="37" spans="1:8" ht="14.7" thickBot="1" x14ac:dyDescent="0.6">
      <c r="A37" s="2" t="s">
        <v>36</v>
      </c>
      <c r="B37" s="1">
        <f>100 *EXP((C3-0.012)*0.5)</f>
        <v>100.75281954445339</v>
      </c>
    </row>
    <row r="39" spans="1:8" x14ac:dyDescent="0.55000000000000004">
      <c r="A39" s="5" t="s">
        <v>41</v>
      </c>
    </row>
    <row r="40" spans="1:8" x14ac:dyDescent="0.55000000000000004">
      <c r="A40" t="s">
        <v>11</v>
      </c>
    </row>
    <row r="41" spans="1:8" x14ac:dyDescent="0.55000000000000004">
      <c r="A41" s="7">
        <f>300/D3</f>
        <v>304.07746093506182</v>
      </c>
      <c r="C41" s="6" t="s">
        <v>42</v>
      </c>
      <c r="D41" s="6"/>
      <c r="E41" s="6"/>
      <c r="F41" s="6"/>
      <c r="G41" s="6"/>
      <c r="H41" s="6"/>
    </row>
    <row r="42" spans="1:8" x14ac:dyDescent="0.55000000000000004">
      <c r="A42" t="s">
        <v>12</v>
      </c>
      <c r="C42" s="6" t="s">
        <v>43</v>
      </c>
      <c r="D42" s="6"/>
      <c r="E42" s="6"/>
      <c r="F42" s="6"/>
      <c r="G42" s="6"/>
      <c r="H42" s="6"/>
    </row>
    <row r="43" spans="1:8" ht="14.7" thickBot="1" x14ac:dyDescent="0.6">
      <c r="A43" s="2" t="s">
        <v>36</v>
      </c>
      <c r="B43" s="1">
        <f>A41/3</f>
        <v>101.35915364502061</v>
      </c>
      <c r="C43" s="6" t="s">
        <v>44</v>
      </c>
      <c r="D43" s="6"/>
      <c r="E43" s="6"/>
      <c r="F43" s="6"/>
      <c r="G43" s="6"/>
      <c r="H43" s="6"/>
    </row>
    <row r="45" spans="1:8" x14ac:dyDescent="0.55000000000000004">
      <c r="A45" s="5" t="s">
        <v>45</v>
      </c>
    </row>
    <row r="46" spans="1:8" x14ac:dyDescent="0.55000000000000004">
      <c r="A46" t="s">
        <v>74</v>
      </c>
    </row>
    <row r="47" spans="1:8" x14ac:dyDescent="0.55000000000000004">
      <c r="A47" t="s">
        <v>10</v>
      </c>
    </row>
    <row r="48" spans="1:8" ht="14.7" thickBot="1" x14ac:dyDescent="0.6">
      <c r="A48" s="2" t="s">
        <v>36</v>
      </c>
      <c r="B48" s="1">
        <f>1.2 *EXP((0.022-C3)*0.5)</f>
        <v>1.1970037468769521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4"/>
  <sheetViews>
    <sheetView workbookViewId="0">
      <selection activeCell="G27" sqref="G27"/>
    </sheetView>
  </sheetViews>
  <sheetFormatPr defaultRowHeight="14.4" x14ac:dyDescent="0.55000000000000004"/>
  <cols>
    <col min="1" max="2" width="14.15625" customWidth="1"/>
    <col min="3" max="3" width="10.05078125" customWidth="1"/>
    <col min="4" max="4" width="13.68359375" bestFit="1" customWidth="1"/>
    <col min="5" max="5" width="13.83984375" customWidth="1"/>
    <col min="6" max="6" width="20.9453125" customWidth="1"/>
    <col min="7" max="7" width="21.89453125" bestFit="1" customWidth="1"/>
    <col min="8" max="8" width="19.5234375" customWidth="1"/>
    <col min="9" max="9" width="15.41796875" customWidth="1"/>
    <col min="10" max="10" width="14.3125" customWidth="1"/>
  </cols>
  <sheetData>
    <row r="1" spans="1:10" ht="14.7" thickBot="1" x14ac:dyDescent="0.6">
      <c r="A1" s="2" t="s">
        <v>46</v>
      </c>
      <c r="B1" s="2" t="s">
        <v>23</v>
      </c>
      <c r="C1" s="2" t="s">
        <v>21</v>
      </c>
      <c r="D1" s="2" t="s">
        <v>47</v>
      </c>
    </row>
    <row r="2" spans="1:10" x14ac:dyDescent="0.55000000000000004">
      <c r="A2" s="3">
        <v>1</v>
      </c>
      <c r="B2" s="3">
        <f>1/12</f>
        <v>8.3333333333333329E-2</v>
      </c>
      <c r="C2" s="3">
        <v>0.02</v>
      </c>
      <c r="D2" s="8">
        <v>100.06251949999999</v>
      </c>
    </row>
    <row r="3" spans="1:10" x14ac:dyDescent="0.55000000000000004">
      <c r="A3" s="3">
        <v>2</v>
      </c>
      <c r="B3" s="3">
        <f>2/12</f>
        <v>0.16666666666666666</v>
      </c>
      <c r="C3" s="3">
        <v>2.1999999999999999E-2</v>
      </c>
      <c r="D3" s="8">
        <v>100.2628448</v>
      </c>
    </row>
    <row r="4" spans="1:10" x14ac:dyDescent="0.55000000000000004">
      <c r="A4" s="3">
        <v>3</v>
      </c>
      <c r="B4" s="3">
        <f>3/12</f>
        <v>0.25</v>
      </c>
      <c r="C4" s="3">
        <v>2.2499999999999999E-2</v>
      </c>
      <c r="D4" s="8">
        <v>100.38825180000001</v>
      </c>
    </row>
    <row r="5" spans="1:10" x14ac:dyDescent="0.55000000000000004">
      <c r="A5" s="3">
        <v>4</v>
      </c>
      <c r="B5" s="3">
        <f>4/12</f>
        <v>0.33333333333333331</v>
      </c>
      <c r="C5" s="3">
        <v>2.4500000000000001E-2</v>
      </c>
      <c r="D5" s="8">
        <v>100.59342049999999</v>
      </c>
    </row>
    <row r="6" spans="1:10" x14ac:dyDescent="0.55000000000000004">
      <c r="A6" s="3">
        <v>5</v>
      </c>
      <c r="B6" s="3">
        <f>5/12</f>
        <v>0.41666666666666669</v>
      </c>
      <c r="C6" s="3">
        <v>2.5000000000000001E-2</v>
      </c>
      <c r="D6" s="8">
        <v>100.8200105</v>
      </c>
    </row>
    <row r="7" spans="1:10" x14ac:dyDescent="0.55000000000000004">
      <c r="A7" s="3">
        <v>6</v>
      </c>
      <c r="B7" s="3">
        <f>6/12</f>
        <v>0.5</v>
      </c>
      <c r="C7" s="3">
        <v>2.5999999999999999E-2</v>
      </c>
      <c r="D7" s="8">
        <v>101.07321810000001</v>
      </c>
    </row>
    <row r="10" spans="1:10" x14ac:dyDescent="0.55000000000000004">
      <c r="A10" s="5" t="s">
        <v>35</v>
      </c>
    </row>
    <row r="11" spans="1:10" ht="24.6" customHeight="1" thickBot="1" x14ac:dyDescent="0.6">
      <c r="A11" s="2" t="s">
        <v>46</v>
      </c>
      <c r="B11" s="2" t="s">
        <v>23</v>
      </c>
      <c r="C11" s="2" t="s">
        <v>21</v>
      </c>
      <c r="D11" s="2" t="s">
        <v>47</v>
      </c>
      <c r="E11" s="2" t="s">
        <v>48</v>
      </c>
      <c r="F11" s="2" t="s">
        <v>13</v>
      </c>
      <c r="G11" s="2"/>
      <c r="H11" s="2"/>
      <c r="I11" s="2"/>
      <c r="J11" s="2" t="s">
        <v>49</v>
      </c>
    </row>
    <row r="12" spans="1:10" x14ac:dyDescent="0.55000000000000004">
      <c r="A12" s="3">
        <v>1</v>
      </c>
      <c r="B12" s="3">
        <f>1/12</f>
        <v>8.3333333333333329E-2</v>
      </c>
      <c r="C12" s="3">
        <v>0.02</v>
      </c>
      <c r="D12" s="8">
        <v>100.06251949999999</v>
      </c>
      <c r="E12">
        <f>B12-0</f>
        <v>8.3333333333333329E-2</v>
      </c>
      <c r="F12">
        <f>EXP(C12*B12)</f>
        <v>1.001668056327482</v>
      </c>
      <c r="G12">
        <f>100*F12/D12</f>
        <v>1.0010422097431617</v>
      </c>
      <c r="H12">
        <f>LN(G12)</f>
        <v>1.0416670196424385E-3</v>
      </c>
      <c r="I12">
        <f>H12</f>
        <v>1.0416670196424385E-3</v>
      </c>
      <c r="J12" s="7">
        <f>I12/E12</f>
        <v>1.2500004235709263E-2</v>
      </c>
    </row>
    <row r="13" spans="1:10" x14ac:dyDescent="0.55000000000000004">
      <c r="A13" s="3">
        <v>2</v>
      </c>
      <c r="B13" s="3">
        <f>2/12</f>
        <v>0.16666666666666666</v>
      </c>
      <c r="C13" s="3">
        <v>2.1999999999999999E-2</v>
      </c>
      <c r="D13" s="8">
        <v>100.2628448</v>
      </c>
      <c r="E13">
        <f>B13-B12</f>
        <v>8.3333333333333329E-2</v>
      </c>
      <c r="F13">
        <f t="shared" ref="F13:F17" si="0">EXP(C13*B13)</f>
        <v>1.0036733971124752</v>
      </c>
      <c r="G13">
        <f t="shared" ref="G13:G17" si="1">100*F13/D13</f>
        <v>1.0010422097184251</v>
      </c>
      <c r="H13">
        <f t="shared" ref="H13:H17" si="2">LN(G13)</f>
        <v>1.0416669949315355E-3</v>
      </c>
      <c r="I13">
        <f t="shared" ref="I13:I16" si="3">H13-H12</f>
        <v>-2.4710903028662967E-11</v>
      </c>
      <c r="J13" s="7">
        <f t="shared" ref="J13:J17" si="4">I13/E13</f>
        <v>-2.9653083634395561E-10</v>
      </c>
    </row>
    <row r="14" spans="1:10" x14ac:dyDescent="0.55000000000000004">
      <c r="A14" s="3">
        <v>3</v>
      </c>
      <c r="B14" s="3">
        <f>3/12</f>
        <v>0.25</v>
      </c>
      <c r="C14" s="3">
        <v>2.2499999999999999E-2</v>
      </c>
      <c r="D14" s="8">
        <v>100.38825180000001</v>
      </c>
      <c r="E14">
        <f t="shared" ref="E14:E17" si="5">B14-B13</f>
        <v>8.3333333333333343E-2</v>
      </c>
      <c r="F14">
        <f t="shared" si="0"/>
        <v>1.0056408500173466</v>
      </c>
      <c r="G14">
        <f t="shared" si="1"/>
        <v>1.001751531664133</v>
      </c>
      <c r="H14">
        <f t="shared" si="2"/>
        <v>1.7499995213512765E-3</v>
      </c>
      <c r="I14">
        <f t="shared" si="3"/>
        <v>7.0833252641974102E-4</v>
      </c>
      <c r="J14" s="7">
        <f t="shared" si="4"/>
        <v>8.4999903170368905E-3</v>
      </c>
    </row>
    <row r="15" spans="1:10" x14ac:dyDescent="0.55000000000000004">
      <c r="A15" s="3">
        <v>4</v>
      </c>
      <c r="B15" s="3">
        <f>4/12</f>
        <v>0.33333333333333331</v>
      </c>
      <c r="C15" s="3">
        <v>2.4500000000000001E-2</v>
      </c>
      <c r="D15" s="8">
        <v>100.59342049999999</v>
      </c>
      <c r="E15">
        <f t="shared" si="5"/>
        <v>8.3333333333333315E-2</v>
      </c>
      <c r="F15">
        <f t="shared" si="0"/>
        <v>1.0082001048530809</v>
      </c>
      <c r="G15">
        <f t="shared" si="1"/>
        <v>1.0022525328613128</v>
      </c>
      <c r="H15">
        <f t="shared" si="2"/>
        <v>2.2499997124546265E-3</v>
      </c>
      <c r="I15">
        <f t="shared" si="3"/>
        <v>5.0000019110334995E-4</v>
      </c>
      <c r="J15" s="7">
        <f t="shared" si="4"/>
        <v>6.0000022932402012E-3</v>
      </c>
    </row>
    <row r="16" spans="1:10" x14ac:dyDescent="0.55000000000000004">
      <c r="A16" s="3">
        <v>5</v>
      </c>
      <c r="B16" s="3">
        <f>5/12</f>
        <v>0.41666666666666669</v>
      </c>
      <c r="C16" s="3">
        <v>2.5000000000000001E-2</v>
      </c>
      <c r="D16" s="8">
        <v>100.8200105</v>
      </c>
      <c r="E16">
        <f t="shared" si="5"/>
        <v>8.333333333333337E-2</v>
      </c>
      <c r="F16">
        <f t="shared" si="0"/>
        <v>1.0104711090105978</v>
      </c>
      <c r="G16">
        <f t="shared" si="1"/>
        <v>1.0022525330034535</v>
      </c>
      <c r="H16">
        <f t="shared" si="2"/>
        <v>2.249999854275913E-3</v>
      </c>
      <c r="I16">
        <f t="shared" si="3"/>
        <v>1.418212864853774E-10</v>
      </c>
      <c r="J16" s="7">
        <f t="shared" si="4"/>
        <v>1.7018554378245279E-9</v>
      </c>
    </row>
    <row r="17" spans="1:10" x14ac:dyDescent="0.55000000000000004">
      <c r="A17" s="3">
        <v>6</v>
      </c>
      <c r="B17" s="3">
        <f>6/12</f>
        <v>0.5</v>
      </c>
      <c r="C17" s="3">
        <v>2.5999999999999999E-2</v>
      </c>
      <c r="D17" s="8">
        <v>101.07321810000001</v>
      </c>
      <c r="E17">
        <f t="shared" si="5"/>
        <v>8.3333333333333315E-2</v>
      </c>
      <c r="F17">
        <f t="shared" si="0"/>
        <v>1.0130848673598092</v>
      </c>
      <c r="G17">
        <f t="shared" si="1"/>
        <v>1.002327705008345</v>
      </c>
      <c r="H17">
        <f t="shared" si="2"/>
        <v>2.325000099715111E-3</v>
      </c>
      <c r="I17">
        <f>H17-H16</f>
        <v>7.5000245439198025E-5</v>
      </c>
      <c r="J17" s="7">
        <f t="shared" si="4"/>
        <v>9.0000294527037652E-4</v>
      </c>
    </row>
    <row r="19" spans="1:10" x14ac:dyDescent="0.55000000000000004">
      <c r="B19" t="s">
        <v>14</v>
      </c>
    </row>
    <row r="20" spans="1:10" ht="20.7" customHeight="1" x14ac:dyDescent="0.55000000000000004">
      <c r="B20" t="s">
        <v>50</v>
      </c>
      <c r="C20" s="19"/>
      <c r="D20" s="19"/>
      <c r="E20" s="19"/>
    </row>
    <row r="21" spans="1:10" x14ac:dyDescent="0.55000000000000004">
      <c r="B21" t="s">
        <v>15</v>
      </c>
    </row>
    <row r="23" spans="1:10" x14ac:dyDescent="0.55000000000000004">
      <c r="A23" s="5" t="s">
        <v>37</v>
      </c>
    </row>
    <row r="24" spans="1:10" ht="14.7" thickBot="1" x14ac:dyDescent="0.6">
      <c r="A24" s="2" t="s">
        <v>46</v>
      </c>
      <c r="B24" s="2" t="s">
        <v>23</v>
      </c>
      <c r="C24" s="2" t="s">
        <v>21</v>
      </c>
      <c r="D24" s="2" t="s">
        <v>47</v>
      </c>
      <c r="E24" s="2" t="s">
        <v>71</v>
      </c>
      <c r="F24" s="2" t="s">
        <v>73</v>
      </c>
      <c r="G24" s="2" t="s">
        <v>72</v>
      </c>
      <c r="H24" s="2" t="s">
        <v>19</v>
      </c>
    </row>
    <row r="25" spans="1:10" x14ac:dyDescent="0.55000000000000004">
      <c r="A25" s="3">
        <v>1</v>
      </c>
      <c r="B25" s="3">
        <f>1/12</f>
        <v>8.3333333333333329E-2</v>
      </c>
      <c r="C25" s="3">
        <v>0.02</v>
      </c>
      <c r="D25" s="8">
        <v>100.06251949999999</v>
      </c>
      <c r="E25">
        <f>EXP(C25*B25)</f>
        <v>1.001668056327482</v>
      </c>
      <c r="F25">
        <f>100-D25/E25</f>
        <v>0.10411246728837398</v>
      </c>
      <c r="G25">
        <f>F25</f>
        <v>0.10411246728837398</v>
      </c>
      <c r="H25" s="7">
        <f>G25*E25</f>
        <v>0.10428613274820411</v>
      </c>
    </row>
    <row r="26" spans="1:10" x14ac:dyDescent="0.55000000000000004">
      <c r="A26" s="3">
        <v>2</v>
      </c>
      <c r="B26" s="3">
        <f>2/12</f>
        <v>0.16666666666666666</v>
      </c>
      <c r="C26" s="3">
        <v>2.1999999999999999E-2</v>
      </c>
      <c r="D26" s="8">
        <v>100.2628448</v>
      </c>
      <c r="E26">
        <f t="shared" ref="E26:E30" si="6">EXP(C26*B26)</f>
        <v>1.0036733971124752</v>
      </c>
      <c r="F26">
        <f t="shared" ref="F26:F30" si="7">100-D26/E26</f>
        <v>0.10411246481987746</v>
      </c>
      <c r="G26">
        <f t="shared" ref="G26:G29" si="8">F26-F25</f>
        <v>-2.4684965183041641E-9</v>
      </c>
      <c r="H26" s="7">
        <f t="shared" ref="H26:H30" si="9">G26*E26</f>
        <v>-2.4775642862866578E-9</v>
      </c>
    </row>
    <row r="27" spans="1:10" x14ac:dyDescent="0.55000000000000004">
      <c r="A27" s="3">
        <v>3</v>
      </c>
      <c r="B27" s="3">
        <f>3/12</f>
        <v>0.25</v>
      </c>
      <c r="C27" s="3">
        <v>2.2499999999999999E-2</v>
      </c>
      <c r="D27" s="8">
        <v>100.38825180000001</v>
      </c>
      <c r="E27">
        <f t="shared" si="6"/>
        <v>1.0056408500173466</v>
      </c>
      <c r="F27">
        <f t="shared" si="7"/>
        <v>0.17484691650267337</v>
      </c>
      <c r="G27">
        <f t="shared" si="8"/>
        <v>7.0734451682795907E-2</v>
      </c>
      <c r="H27" s="7">
        <f t="shared" si="9"/>
        <v>7.1133454115797815E-2</v>
      </c>
    </row>
    <row r="28" spans="1:10" x14ac:dyDescent="0.55000000000000004">
      <c r="A28" s="3">
        <v>4</v>
      </c>
      <c r="B28" s="3">
        <f>4/12</f>
        <v>0.33333333333333331</v>
      </c>
      <c r="C28" s="3">
        <v>2.4500000000000001E-2</v>
      </c>
      <c r="D28" s="8">
        <v>100.59342049999999</v>
      </c>
      <c r="E28">
        <f t="shared" si="6"/>
        <v>1.0082001048530809</v>
      </c>
      <c r="F28">
        <f t="shared" si="7"/>
        <v>0.22474703604709134</v>
      </c>
      <c r="G28">
        <f t="shared" si="8"/>
        <v>4.9900119544417976E-2</v>
      </c>
      <c r="H28" s="7">
        <f t="shared" si="9"/>
        <v>5.0309305756863473E-2</v>
      </c>
    </row>
    <row r="29" spans="1:10" x14ac:dyDescent="0.55000000000000004">
      <c r="A29" s="3">
        <v>5</v>
      </c>
      <c r="B29" s="3">
        <f>5/12</f>
        <v>0.41666666666666669</v>
      </c>
      <c r="C29" s="3">
        <v>2.5000000000000001E-2</v>
      </c>
      <c r="D29" s="8">
        <v>100.8200105</v>
      </c>
      <c r="E29">
        <f t="shared" si="6"/>
        <v>1.0104711090105978</v>
      </c>
      <c r="F29">
        <f t="shared" si="7"/>
        <v>0.22474705019735097</v>
      </c>
      <c r="G29">
        <f t="shared" si="8"/>
        <v>1.4150259630696382E-8</v>
      </c>
      <c r="H29" s="7">
        <f t="shared" si="9"/>
        <v>1.4298428541817665E-8</v>
      </c>
    </row>
    <row r="30" spans="1:10" x14ac:dyDescent="0.55000000000000004">
      <c r="A30" s="3">
        <v>6</v>
      </c>
      <c r="B30" s="3">
        <f>6/12</f>
        <v>0.5</v>
      </c>
      <c r="C30" s="3">
        <v>2.5999999999999999E-2</v>
      </c>
      <c r="D30" s="8">
        <v>101.07321810000001</v>
      </c>
      <c r="E30">
        <f t="shared" si="6"/>
        <v>1.0130848673598092</v>
      </c>
      <c r="F30">
        <f t="shared" si="7"/>
        <v>0.23222993804462533</v>
      </c>
      <c r="G30">
        <f>F30-F29</f>
        <v>7.4828878472743554E-3</v>
      </c>
      <c r="H30" s="7">
        <f t="shared" si="9"/>
        <v>7.580800442224268E-3</v>
      </c>
    </row>
    <row r="32" spans="1:10" x14ac:dyDescent="0.55000000000000004">
      <c r="B32" s="20" t="s">
        <v>16</v>
      </c>
      <c r="C32" s="20"/>
      <c r="D32" s="20"/>
      <c r="E32" s="20"/>
      <c r="F32" s="20"/>
      <c r="G32" s="20"/>
    </row>
    <row r="33" spans="2:7" x14ac:dyDescent="0.55000000000000004">
      <c r="B33" s="20" t="s">
        <v>17</v>
      </c>
      <c r="C33" s="20"/>
      <c r="D33" s="20"/>
      <c r="E33" s="20"/>
      <c r="F33" s="20"/>
      <c r="G33" s="20"/>
    </row>
    <row r="34" spans="2:7" x14ac:dyDescent="0.55000000000000004">
      <c r="B34" s="20" t="s">
        <v>18</v>
      </c>
      <c r="C34" s="20"/>
      <c r="D34" s="20"/>
      <c r="E34" s="20"/>
      <c r="F34" s="20"/>
      <c r="G34" s="20"/>
    </row>
  </sheetData>
  <mergeCells count="4">
    <mergeCell ref="C20:E20"/>
    <mergeCell ref="B32:G32"/>
    <mergeCell ref="B33:G33"/>
    <mergeCell ref="B34:G3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5"/>
  <sheetViews>
    <sheetView topLeftCell="A37" workbookViewId="0">
      <selection activeCell="E9" sqref="E9"/>
    </sheetView>
  </sheetViews>
  <sheetFormatPr defaultRowHeight="14.4" x14ac:dyDescent="0.55000000000000004"/>
  <cols>
    <col min="1" max="1" width="16" customWidth="1"/>
  </cols>
  <sheetData>
    <row r="2" spans="1:2" ht="14.7" thickBot="1" x14ac:dyDescent="0.6">
      <c r="A2" s="2" t="s">
        <v>51</v>
      </c>
      <c r="B2">
        <v>30</v>
      </c>
    </row>
    <row r="3" spans="1:2" ht="14.7" thickBot="1" x14ac:dyDescent="0.6">
      <c r="A3" s="2" t="s">
        <v>0</v>
      </c>
      <c r="B3">
        <v>0.05</v>
      </c>
    </row>
    <row r="4" spans="1:2" ht="14.7" thickBot="1" x14ac:dyDescent="0.6">
      <c r="A4" s="2" t="s">
        <v>52</v>
      </c>
      <c r="B4">
        <v>0</v>
      </c>
    </row>
    <row r="5" spans="1:2" ht="14.7" thickBot="1" x14ac:dyDescent="0.6">
      <c r="A5" s="2" t="s">
        <v>53</v>
      </c>
      <c r="B5">
        <v>0.5</v>
      </c>
    </row>
    <row r="6" spans="1:2" ht="14.7" thickBot="1" x14ac:dyDescent="0.6">
      <c r="A6" s="2" t="s">
        <v>54</v>
      </c>
      <c r="B6">
        <v>0.4</v>
      </c>
    </row>
    <row r="8" spans="1:2" x14ac:dyDescent="0.55000000000000004">
      <c r="A8" t="s">
        <v>55</v>
      </c>
    </row>
    <row r="10" spans="1:2" ht="14.7" thickBot="1" x14ac:dyDescent="0.6">
      <c r="A10" s="2" t="s">
        <v>56</v>
      </c>
      <c r="B10">
        <f>B5/2</f>
        <v>0.25</v>
      </c>
    </row>
    <row r="11" spans="1:2" ht="14.7" thickBot="1" x14ac:dyDescent="0.6">
      <c r="A11" s="2" t="s">
        <v>57</v>
      </c>
      <c r="B11">
        <f>EXP(B6*SQRT(B10))</f>
        <v>1.2214027581601699</v>
      </c>
    </row>
    <row r="12" spans="1:2" ht="14.7" thickBot="1" x14ac:dyDescent="0.6">
      <c r="A12" s="2" t="s">
        <v>58</v>
      </c>
      <c r="B12">
        <f>1/B11</f>
        <v>0.81873075307798182</v>
      </c>
    </row>
    <row r="13" spans="1:2" ht="14.7" thickBot="1" x14ac:dyDescent="0.6">
      <c r="A13" s="2"/>
    </row>
    <row r="14" spans="1:2" ht="14.7" thickBot="1" x14ac:dyDescent="0.6">
      <c r="A14" s="2" t="s">
        <v>59</v>
      </c>
      <c r="B14">
        <f>(EXP((B3-B4)*B10)-B12)/(B11-B12)</f>
        <v>0.48140346489467772</v>
      </c>
    </row>
    <row r="15" spans="1:2" ht="14.7" thickBot="1" x14ac:dyDescent="0.6">
      <c r="A15" s="2" t="s">
        <v>60</v>
      </c>
      <c r="B15">
        <f>(B11-EXP((B3-B4)*B10))/(B11-B12)</f>
        <v>0.51859653510532233</v>
      </c>
    </row>
    <row r="17" spans="1:6" s="9" customFormat="1" x14ac:dyDescent="0.55000000000000004">
      <c r="A17" s="9" t="s">
        <v>61</v>
      </c>
    </row>
    <row r="18" spans="1:6" x14ac:dyDescent="0.55000000000000004">
      <c r="A18" t="s">
        <v>62</v>
      </c>
      <c r="B18">
        <v>25</v>
      </c>
    </row>
    <row r="19" spans="1:6" ht="14.7" thickBot="1" x14ac:dyDescent="0.6"/>
    <row r="20" spans="1:6" x14ac:dyDescent="0.55000000000000004">
      <c r="E20" s="10" t="s">
        <v>63</v>
      </c>
      <c r="F20" s="11">
        <f>B2*B11*B11</f>
        <v>44.75474092923811</v>
      </c>
    </row>
    <row r="21" spans="1:6" ht="14.7" thickBot="1" x14ac:dyDescent="0.6">
      <c r="E21" s="12" t="s">
        <v>64</v>
      </c>
      <c r="F21" s="13">
        <f>F20-B18</f>
        <v>19.75474092923811</v>
      </c>
    </row>
    <row r="22" spans="1:6" ht="14.7" thickBot="1" x14ac:dyDescent="0.6">
      <c r="C22" s="10" t="s">
        <v>63</v>
      </c>
      <c r="D22" s="14">
        <f>B2*B11</f>
        <v>36.642082744805094</v>
      </c>
      <c r="E22" s="15" t="s">
        <v>65</v>
      </c>
      <c r="F22" s="16"/>
    </row>
    <row r="23" spans="1:6" ht="14.7" thickBot="1" x14ac:dyDescent="0.6">
      <c r="C23" s="12" t="s">
        <v>64</v>
      </c>
      <c r="D23" s="13">
        <f>F21*B14+F25*B15</f>
        <v>12.102983406958542</v>
      </c>
    </row>
    <row r="24" spans="1:6" ht="14.7" thickBot="1" x14ac:dyDescent="0.6">
      <c r="A24" s="10" t="s">
        <v>63</v>
      </c>
      <c r="B24" s="14">
        <f>B2</f>
        <v>30</v>
      </c>
      <c r="C24" s="15" t="s">
        <v>65</v>
      </c>
      <c r="D24" s="17">
        <f>(F21-F25)/(F20-F24)</f>
        <v>1</v>
      </c>
      <c r="E24" s="10" t="s">
        <v>63</v>
      </c>
      <c r="F24" s="11">
        <f>B2*B11*B12</f>
        <v>29.999999999999996</v>
      </c>
    </row>
    <row r="25" spans="1:6" ht="14.7" thickBot="1" x14ac:dyDescent="0.6">
      <c r="A25" s="12" t="s">
        <v>64</v>
      </c>
      <c r="B25" s="13">
        <f>D23*B14+D27*B15</f>
        <v>7.0746889920830149</v>
      </c>
      <c r="E25" s="12" t="s">
        <v>64</v>
      </c>
      <c r="F25" s="13">
        <f>F24-B18</f>
        <v>4.9999999999999964</v>
      </c>
    </row>
    <row r="26" spans="1:6" ht="14.7" thickBot="1" x14ac:dyDescent="0.6">
      <c r="A26" s="15" t="s">
        <v>65</v>
      </c>
      <c r="B26" s="17">
        <f>(D23-D27)/(D22-D26)</f>
        <v>0.80263555781635421</v>
      </c>
      <c r="C26" s="10" t="s">
        <v>63</v>
      </c>
      <c r="D26" s="14">
        <f>B2*B12</f>
        <v>24.561922592339453</v>
      </c>
      <c r="E26" s="15" t="s">
        <v>65</v>
      </c>
      <c r="F26" s="16"/>
    </row>
    <row r="27" spans="1:6" ht="14.7" thickBot="1" x14ac:dyDescent="0.6">
      <c r="C27" s="12" t="s">
        <v>64</v>
      </c>
      <c r="D27" s="13">
        <f>F25*B14+F29*B15</f>
        <v>2.407017324473387</v>
      </c>
    </row>
    <row r="28" spans="1:6" ht="14.7" thickBot="1" x14ac:dyDescent="0.6">
      <c r="C28" s="15" t="s">
        <v>65</v>
      </c>
      <c r="D28" s="17">
        <f>(F25-F29)/(F24-F28)</f>
        <v>0.50554079695328902</v>
      </c>
      <c r="E28" s="10" t="s">
        <v>63</v>
      </c>
      <c r="F28" s="11">
        <f>B2*B12*B12</f>
        <v>20.109601381069176</v>
      </c>
    </row>
    <row r="29" spans="1:6" x14ac:dyDescent="0.55000000000000004">
      <c r="E29" s="12" t="s">
        <v>64</v>
      </c>
      <c r="F29" s="13">
        <v>0</v>
      </c>
    </row>
    <row r="30" spans="1:6" ht="14.7" thickBot="1" x14ac:dyDescent="0.6">
      <c r="E30" s="15" t="s">
        <v>65</v>
      </c>
      <c r="F30" s="16"/>
    </row>
    <row r="32" spans="1:6" x14ac:dyDescent="0.55000000000000004">
      <c r="A32" t="s">
        <v>66</v>
      </c>
    </row>
    <row r="33" spans="1:6" x14ac:dyDescent="0.55000000000000004">
      <c r="A33" t="s">
        <v>62</v>
      </c>
      <c r="B33">
        <v>25</v>
      </c>
    </row>
    <row r="34" spans="1:6" ht="14.7" thickBot="1" x14ac:dyDescent="0.6"/>
    <row r="35" spans="1:6" x14ac:dyDescent="0.55000000000000004">
      <c r="E35" s="10" t="s">
        <v>63</v>
      </c>
      <c r="F35" s="11">
        <f>B2*B11*B11</f>
        <v>44.75474092923811</v>
      </c>
    </row>
    <row r="36" spans="1:6" ht="14.7" thickBot="1" x14ac:dyDescent="0.6">
      <c r="E36" s="12" t="s">
        <v>64</v>
      </c>
      <c r="F36" s="13">
        <f>0</f>
        <v>0</v>
      </c>
    </row>
    <row r="37" spans="1:6" ht="14.7" thickBot="1" x14ac:dyDescent="0.6">
      <c r="C37" s="10" t="s">
        <v>63</v>
      </c>
      <c r="D37" s="14">
        <f>B2*B11</f>
        <v>36.642082744805094</v>
      </c>
      <c r="E37" s="15" t="s">
        <v>65</v>
      </c>
      <c r="F37" s="16"/>
    </row>
    <row r="38" spans="1:6" ht="14.7" thickBot="1" x14ac:dyDescent="0.6">
      <c r="C38" s="12" t="s">
        <v>64</v>
      </c>
      <c r="D38" s="13">
        <f>F36*B14+F40*B15</f>
        <v>0</v>
      </c>
    </row>
    <row r="39" spans="1:6" ht="14.7" thickBot="1" x14ac:dyDescent="0.6">
      <c r="A39" s="10" t="s">
        <v>63</v>
      </c>
      <c r="B39" s="14">
        <f>B2</f>
        <v>30</v>
      </c>
      <c r="C39" s="15" t="s">
        <v>65</v>
      </c>
      <c r="D39" s="17">
        <f>(F36-F40)/(F35-F39)</f>
        <v>0</v>
      </c>
      <c r="E39" s="10" t="s">
        <v>63</v>
      </c>
      <c r="F39" s="11">
        <f>B2*B11*B12</f>
        <v>29.999999999999996</v>
      </c>
    </row>
    <row r="40" spans="1:6" ht="14.7" thickBot="1" x14ac:dyDescent="0.6">
      <c r="A40" s="12" t="s">
        <v>64</v>
      </c>
      <c r="B40" s="13">
        <f>D38*B14+D42*B15</f>
        <v>1.3152353763501492</v>
      </c>
      <c r="E40" s="12" t="s">
        <v>64</v>
      </c>
      <c r="F40" s="13">
        <v>0</v>
      </c>
    </row>
    <row r="41" spans="1:6" ht="14.7" thickBot="1" x14ac:dyDescent="0.6">
      <c r="A41" s="15" t="s">
        <v>65</v>
      </c>
      <c r="B41" s="17">
        <f>(D38-D42)/(D37-D41)</f>
        <v>-0.20994289372428024</v>
      </c>
      <c r="C41" s="10" t="s">
        <v>63</v>
      </c>
      <c r="D41" s="14">
        <f>B2*B12</f>
        <v>24.561922592339453</v>
      </c>
      <c r="E41" s="15" t="s">
        <v>65</v>
      </c>
      <c r="F41" s="16"/>
    </row>
    <row r="42" spans="1:6" ht="14.7" thickBot="1" x14ac:dyDescent="0.6">
      <c r="C42" s="12" t="s">
        <v>64</v>
      </c>
      <c r="D42" s="13">
        <f>F40*B14+F44*B15</f>
        <v>2.536143779061379</v>
      </c>
    </row>
    <row r="43" spans="1:6" ht="14.7" thickBot="1" x14ac:dyDescent="0.6">
      <c r="C43" s="15" t="s">
        <v>65</v>
      </c>
      <c r="D43" s="17">
        <f>(F40-F44)/(F39-F43)</f>
        <v>-0.49445920304671093</v>
      </c>
      <c r="E43" s="10" t="s">
        <v>63</v>
      </c>
      <c r="F43" s="11">
        <f>B2*B12*B12</f>
        <v>20.109601381069176</v>
      </c>
    </row>
    <row r="44" spans="1:6" x14ac:dyDescent="0.55000000000000004">
      <c r="E44" s="12" t="s">
        <v>64</v>
      </c>
      <c r="F44" s="13">
        <f>-F43+B33</f>
        <v>4.8903986189308242</v>
      </c>
    </row>
    <row r="45" spans="1:6" ht="14.7" thickBot="1" x14ac:dyDescent="0.6">
      <c r="E45" s="15" t="s">
        <v>65</v>
      </c>
      <c r="F45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59"/>
  <sheetViews>
    <sheetView topLeftCell="A34" workbookViewId="0">
      <selection activeCell="I10" sqref="I10"/>
    </sheetView>
  </sheetViews>
  <sheetFormatPr defaultRowHeight="14.4" x14ac:dyDescent="0.55000000000000004"/>
  <sheetData>
    <row r="2" spans="1:2" ht="14.7" thickBot="1" x14ac:dyDescent="0.6">
      <c r="A2" s="2" t="s">
        <v>51</v>
      </c>
      <c r="B2">
        <v>50</v>
      </c>
    </row>
    <row r="3" spans="1:2" ht="14.7" thickBot="1" x14ac:dyDescent="0.6">
      <c r="A3" s="2" t="s">
        <v>0</v>
      </c>
      <c r="B3">
        <v>0.03</v>
      </c>
    </row>
    <row r="4" spans="1:2" ht="14.7" thickBot="1" x14ac:dyDescent="0.6">
      <c r="A4" s="2" t="s">
        <v>52</v>
      </c>
      <c r="B4">
        <v>2.5000000000000001E-2</v>
      </c>
    </row>
    <row r="5" spans="1:2" ht="14.7" thickBot="1" x14ac:dyDescent="0.6">
      <c r="A5" s="2" t="s">
        <v>53</v>
      </c>
      <c r="B5">
        <v>0.25</v>
      </c>
    </row>
    <row r="6" spans="1:2" ht="14.7" thickBot="1" x14ac:dyDescent="0.6">
      <c r="A6" s="2" t="s">
        <v>54</v>
      </c>
      <c r="B6">
        <v>0.6</v>
      </c>
    </row>
    <row r="9" spans="1:2" ht="14.7" thickBot="1" x14ac:dyDescent="0.6">
      <c r="A9" s="2" t="s">
        <v>67</v>
      </c>
      <c r="B9">
        <f>B5/2</f>
        <v>0.125</v>
      </c>
    </row>
    <row r="10" spans="1:2" ht="14.7" thickBot="1" x14ac:dyDescent="0.6">
      <c r="A10" s="2" t="s">
        <v>57</v>
      </c>
      <c r="B10">
        <f>EXP(B6*SQRT(B9))</f>
        <v>1.2363111098437878</v>
      </c>
    </row>
    <row r="11" spans="1:2" ht="14.7" thickBot="1" x14ac:dyDescent="0.6">
      <c r="A11" s="2" t="s">
        <v>58</v>
      </c>
      <c r="B11">
        <f>1/B10</f>
        <v>0.80885789348471804</v>
      </c>
    </row>
    <row r="12" spans="1:2" ht="14.7" thickBot="1" x14ac:dyDescent="0.6">
      <c r="A12" s="2"/>
    </row>
    <row r="13" spans="1:2" ht="14.7" thickBot="1" x14ac:dyDescent="0.6">
      <c r="A13" s="2" t="s">
        <v>59</v>
      </c>
      <c r="B13">
        <f>(EXP((B3-B4)*B9)-B11)/(B10-B11)</f>
        <v>0.44862757964930072</v>
      </c>
    </row>
    <row r="14" spans="1:2" ht="14.7" thickBot="1" x14ac:dyDescent="0.6">
      <c r="A14" s="2" t="s">
        <v>60</v>
      </c>
      <c r="B14">
        <f>(B10-EXP((B3-B4)*B9))/(B10-B11)</f>
        <v>0.55137242035069922</v>
      </c>
    </row>
    <row r="17" spans="1:6" x14ac:dyDescent="0.55000000000000004">
      <c r="A17" t="s">
        <v>61</v>
      </c>
    </row>
    <row r="19" spans="1:6" x14ac:dyDescent="0.55000000000000004">
      <c r="A19" t="s">
        <v>62</v>
      </c>
      <c r="B19">
        <v>41</v>
      </c>
    </row>
    <row r="20" spans="1:6" ht="14.7" thickBot="1" x14ac:dyDescent="0.6"/>
    <row r="21" spans="1:6" x14ac:dyDescent="0.55000000000000004">
      <c r="E21" s="10" t="s">
        <v>63</v>
      </c>
      <c r="F21" s="11">
        <f>B2*B10*B10</f>
        <v>76.423258016158911</v>
      </c>
    </row>
    <row r="22" spans="1:6" ht="14.7" thickBot="1" x14ac:dyDescent="0.6">
      <c r="E22" s="12" t="s">
        <v>68</v>
      </c>
      <c r="F22" s="13"/>
    </row>
    <row r="23" spans="1:6" x14ac:dyDescent="0.55000000000000004">
      <c r="C23" s="10" t="s">
        <v>63</v>
      </c>
      <c r="D23" s="14">
        <f>B2*B10</f>
        <v>61.815555492189389</v>
      </c>
      <c r="E23" s="12" t="s">
        <v>69</v>
      </c>
      <c r="F23" s="13">
        <f>F21-B19</f>
        <v>35.423258016158911</v>
      </c>
    </row>
    <row r="24" spans="1:6" x14ac:dyDescent="0.55000000000000004">
      <c r="C24" s="12" t="s">
        <v>68</v>
      </c>
      <c r="D24" s="18">
        <f>F24*B13+F30*B14</f>
        <v>20.854202290238355</v>
      </c>
      <c r="E24" s="12" t="s">
        <v>70</v>
      </c>
      <c r="F24" s="13">
        <f>F23</f>
        <v>35.423258016158911</v>
      </c>
    </row>
    <row r="25" spans="1:6" ht="14.7" thickBot="1" x14ac:dyDescent="0.6">
      <c r="C25" s="12" t="s">
        <v>69</v>
      </c>
      <c r="D25" s="18">
        <f>D23-B19</f>
        <v>20.815555492189389</v>
      </c>
      <c r="E25" s="15" t="s">
        <v>65</v>
      </c>
      <c r="F25" s="16"/>
    </row>
    <row r="26" spans="1:6" ht="14.7" thickBot="1" x14ac:dyDescent="0.6">
      <c r="A26" s="10" t="s">
        <v>63</v>
      </c>
      <c r="B26" s="14">
        <f>B2</f>
        <v>50</v>
      </c>
      <c r="C26" s="12" t="s">
        <v>70</v>
      </c>
      <c r="D26" s="13">
        <f>MAX(D25,D24)</f>
        <v>20.854202290238355</v>
      </c>
    </row>
    <row r="27" spans="1:6" ht="14.7" thickBot="1" x14ac:dyDescent="0.6">
      <c r="A27" s="12" t="s">
        <v>68</v>
      </c>
      <c r="B27" s="18">
        <f>D26*B13+D32*B14</f>
        <v>11.582018168832336</v>
      </c>
      <c r="C27" s="15" t="s">
        <v>65</v>
      </c>
      <c r="D27" s="17">
        <f>(F24-F30)/(F21-F27)</f>
        <v>1</v>
      </c>
      <c r="E27" s="10" t="s">
        <v>63</v>
      </c>
      <c r="F27" s="11">
        <f>B2*B10*B11</f>
        <v>50</v>
      </c>
    </row>
    <row r="28" spans="1:6" ht="14.7" thickBot="1" x14ac:dyDescent="0.6">
      <c r="A28" s="12" t="s">
        <v>69</v>
      </c>
      <c r="B28" s="13">
        <f>B26-B19</f>
        <v>9</v>
      </c>
      <c r="E28" s="12" t="s">
        <v>68</v>
      </c>
      <c r="F28" s="13"/>
    </row>
    <row r="29" spans="1:6" x14ac:dyDescent="0.55000000000000004">
      <c r="A29" s="12" t="s">
        <v>70</v>
      </c>
      <c r="B29" s="18">
        <f>MAX(B27,B28)</f>
        <v>11.582018168832336</v>
      </c>
      <c r="C29" s="10" t="s">
        <v>63</v>
      </c>
      <c r="D29" s="11">
        <f>B2*B11</f>
        <v>40.442894674235902</v>
      </c>
      <c r="E29" s="18" t="s">
        <v>69</v>
      </c>
      <c r="F29" s="13">
        <f>F27-B19</f>
        <v>9</v>
      </c>
    </row>
    <row r="30" spans="1:6" ht="14.7" thickBot="1" x14ac:dyDescent="0.6">
      <c r="A30" s="15" t="s">
        <v>65</v>
      </c>
      <c r="B30" s="17">
        <f>(D26-D32)/(D23-D29)</f>
        <v>0.78682547842935813</v>
      </c>
      <c r="C30" s="12" t="s">
        <v>68</v>
      </c>
      <c r="D30" s="13">
        <f>F30*B13+F36*B14</f>
        <v>4.0376482168437065</v>
      </c>
      <c r="E30" s="18" t="s">
        <v>70</v>
      </c>
      <c r="F30" s="13">
        <f>F29</f>
        <v>9</v>
      </c>
    </row>
    <row r="31" spans="1:6" ht="14.7" thickBot="1" x14ac:dyDescent="0.6">
      <c r="C31" s="12" t="s">
        <v>69</v>
      </c>
      <c r="D31" s="13">
        <f>MAX(0,D29-B19)</f>
        <v>0</v>
      </c>
      <c r="E31" s="17" t="s">
        <v>65</v>
      </c>
      <c r="F31" s="16"/>
    </row>
    <row r="32" spans="1:6" ht="14.7" thickBot="1" x14ac:dyDescent="0.6">
      <c r="C32" s="12" t="s">
        <v>70</v>
      </c>
      <c r="D32" s="13">
        <f>MAX(D31,D30)</f>
        <v>4.0376482168437065</v>
      </c>
    </row>
    <row r="33" spans="1:6" ht="14.7" thickBot="1" x14ac:dyDescent="0.6">
      <c r="C33" s="15" t="s">
        <v>65</v>
      </c>
      <c r="D33" s="17">
        <f>(F30-F36)/(F27-F33)</f>
        <v>0.52060901931533687</v>
      </c>
      <c r="E33" s="10" t="s">
        <v>63</v>
      </c>
      <c r="F33" s="11">
        <f>B2*B11*B11</f>
        <v>32.712554592626773</v>
      </c>
    </row>
    <row r="34" spans="1:6" x14ac:dyDescent="0.55000000000000004">
      <c r="E34" s="12" t="s">
        <v>68</v>
      </c>
      <c r="F34" s="13"/>
    </row>
    <row r="35" spans="1:6" x14ac:dyDescent="0.55000000000000004">
      <c r="E35" s="12" t="s">
        <v>69</v>
      </c>
      <c r="F35" s="13">
        <v>0</v>
      </c>
    </row>
    <row r="36" spans="1:6" x14ac:dyDescent="0.55000000000000004">
      <c r="E36" s="12" t="s">
        <v>70</v>
      </c>
      <c r="F36" s="13">
        <f>F35</f>
        <v>0</v>
      </c>
    </row>
    <row r="37" spans="1:6" ht="14.7" thickBot="1" x14ac:dyDescent="0.6">
      <c r="E37" s="15" t="s">
        <v>65</v>
      </c>
      <c r="F37" s="16"/>
    </row>
    <row r="39" spans="1:6" x14ac:dyDescent="0.55000000000000004">
      <c r="A39" t="s">
        <v>66</v>
      </c>
    </row>
    <row r="41" spans="1:6" x14ac:dyDescent="0.55000000000000004">
      <c r="A41" t="s">
        <v>62</v>
      </c>
      <c r="B41">
        <v>52</v>
      </c>
    </row>
    <row r="42" spans="1:6" ht="14.7" thickBot="1" x14ac:dyDescent="0.6"/>
    <row r="43" spans="1:6" x14ac:dyDescent="0.55000000000000004">
      <c r="E43" s="10" t="s">
        <v>63</v>
      </c>
      <c r="F43" s="11">
        <f>B2*B10*B10</f>
        <v>76.423258016158911</v>
      </c>
    </row>
    <row r="44" spans="1:6" ht="14.7" thickBot="1" x14ac:dyDescent="0.6">
      <c r="E44" s="12" t="s">
        <v>68</v>
      </c>
      <c r="F44" s="13"/>
    </row>
    <row r="45" spans="1:6" x14ac:dyDescent="0.55000000000000004">
      <c r="C45" s="10" t="s">
        <v>63</v>
      </c>
      <c r="D45" s="14">
        <f>B2*B10</f>
        <v>61.815555492189389</v>
      </c>
      <c r="E45" s="12" t="s">
        <v>69</v>
      </c>
      <c r="F45" s="13">
        <f>MAX(0,B41-F43)</f>
        <v>0</v>
      </c>
    </row>
    <row r="46" spans="1:6" x14ac:dyDescent="0.55000000000000004">
      <c r="C46" s="12" t="s">
        <v>68</v>
      </c>
      <c r="D46" s="18">
        <f>F46*B13+F52*B14</f>
        <v>1.1027448407013984</v>
      </c>
      <c r="E46" s="12" t="s">
        <v>70</v>
      </c>
      <c r="F46" s="13">
        <f>F45</f>
        <v>0</v>
      </c>
    </row>
    <row r="47" spans="1:6" ht="14.7" thickBot="1" x14ac:dyDescent="0.6">
      <c r="C47" s="12" t="s">
        <v>69</v>
      </c>
      <c r="D47" s="18">
        <f>MAX(0,B41-D45)</f>
        <v>0</v>
      </c>
      <c r="E47" s="15" t="s">
        <v>65</v>
      </c>
      <c r="F47" s="16"/>
    </row>
    <row r="48" spans="1:6" ht="14.7" thickBot="1" x14ac:dyDescent="0.6">
      <c r="A48" s="10" t="s">
        <v>63</v>
      </c>
      <c r="B48" s="14">
        <f>B2</f>
        <v>50</v>
      </c>
      <c r="C48" s="12" t="s">
        <v>70</v>
      </c>
      <c r="D48" s="13">
        <f>MAX(D47,D46)</f>
        <v>1.1027448407013984</v>
      </c>
    </row>
    <row r="49" spans="1:6" ht="14.7" thickBot="1" x14ac:dyDescent="0.6">
      <c r="A49" s="12" t="s">
        <v>68</v>
      </c>
      <c r="B49" s="18">
        <f>D48*B13+D54*B14</f>
        <v>6.8669908845691294</v>
      </c>
      <c r="C49" s="15" t="s">
        <v>65</v>
      </c>
      <c r="D49" s="17">
        <f>(F46-F52)/(F43-F49)</f>
        <v>-7.5690893181185964E-2</v>
      </c>
      <c r="E49" s="10" t="s">
        <v>63</v>
      </c>
      <c r="F49" s="11">
        <f>B2*B10*B11</f>
        <v>50</v>
      </c>
    </row>
    <row r="50" spans="1:6" ht="14.7" thickBot="1" x14ac:dyDescent="0.6">
      <c r="A50" s="12" t="s">
        <v>69</v>
      </c>
      <c r="B50" s="13">
        <f>MAX(0,B41-B48)</f>
        <v>2</v>
      </c>
      <c r="E50" s="12" t="s">
        <v>68</v>
      </c>
      <c r="F50" s="13"/>
    </row>
    <row r="51" spans="1:6" x14ac:dyDescent="0.55000000000000004">
      <c r="A51" s="12" t="s">
        <v>70</v>
      </c>
      <c r="B51" s="18">
        <f>MAX(B49,B50)</f>
        <v>6.8669908845691294</v>
      </c>
      <c r="C51" s="10" t="s">
        <v>63</v>
      </c>
      <c r="D51" s="11">
        <f>B2*B11</f>
        <v>40.442894674235902</v>
      </c>
      <c r="E51" s="18" t="s">
        <v>69</v>
      </c>
      <c r="F51" s="13">
        <f>MAX(0,B41-F49)</f>
        <v>2</v>
      </c>
    </row>
    <row r="52" spans="1:6" ht="14.7" thickBot="1" x14ac:dyDescent="0.6">
      <c r="A52" s="15" t="s">
        <v>65</v>
      </c>
      <c r="B52" s="17">
        <f>(D48-D54)/(D45-D51)</f>
        <v>-0.48914641813249649</v>
      </c>
      <c r="C52" s="12" t="s">
        <v>68</v>
      </c>
      <c r="D52" s="13">
        <f>F52*B13+F58*B14</f>
        <v>11.531820615943957</v>
      </c>
      <c r="E52" s="18" t="s">
        <v>70</v>
      </c>
      <c r="F52" s="13">
        <f>F51</f>
        <v>2</v>
      </c>
    </row>
    <row r="53" spans="1:6" ht="14.7" thickBot="1" x14ac:dyDescent="0.6">
      <c r="C53" s="12" t="s">
        <v>69</v>
      </c>
      <c r="D53" s="13">
        <f>MAX(0,B41-D51)</f>
        <v>11.557105325764098</v>
      </c>
      <c r="E53" s="17" t="s">
        <v>65</v>
      </c>
      <c r="F53" s="16"/>
    </row>
    <row r="54" spans="1:6" ht="14.7" thickBot="1" x14ac:dyDescent="0.6">
      <c r="C54" s="12" t="s">
        <v>70</v>
      </c>
      <c r="D54" s="13">
        <f>MAX(D53,D52)</f>
        <v>11.557105325764098</v>
      </c>
    </row>
    <row r="55" spans="1:6" ht="14.7" thickBot="1" x14ac:dyDescent="0.6">
      <c r="C55" s="15" t="s">
        <v>65</v>
      </c>
      <c r="D55" s="17">
        <f>(F52-F58)/(F49-F55)</f>
        <v>-1</v>
      </c>
      <c r="E55" s="10" t="s">
        <v>63</v>
      </c>
      <c r="F55" s="11">
        <f>B2*B11*B11</f>
        <v>32.712554592626773</v>
      </c>
    </row>
    <row r="56" spans="1:6" x14ac:dyDescent="0.55000000000000004">
      <c r="E56" s="12" t="s">
        <v>68</v>
      </c>
      <c r="F56" s="13"/>
    </row>
    <row r="57" spans="1:6" x14ac:dyDescent="0.55000000000000004">
      <c r="E57" s="12" t="s">
        <v>69</v>
      </c>
      <c r="F57" s="13">
        <f>MAX(0,B41-F55)</f>
        <v>19.287445407373227</v>
      </c>
    </row>
    <row r="58" spans="1:6" x14ac:dyDescent="0.55000000000000004">
      <c r="E58" s="12" t="s">
        <v>70</v>
      </c>
      <c r="F58" s="13">
        <f>F57</f>
        <v>19.287445407373227</v>
      </c>
    </row>
    <row r="59" spans="1:6" ht="14.7" thickBot="1" x14ac:dyDescent="0.6">
      <c r="E59" s="15" t="s">
        <v>65</v>
      </c>
      <c r="F59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Exercise 1</vt:lpstr>
      <vt:lpstr>Exercise 2</vt:lpstr>
      <vt:lpstr>Exercise 3</vt:lpstr>
      <vt:lpstr>Exercise 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Gye Hyun Baek</dc:creator>
  <cp:lastModifiedBy>quan</cp:lastModifiedBy>
  <dcterms:created xsi:type="dcterms:W3CDTF">2015-10-31T13:52:06Z</dcterms:created>
  <dcterms:modified xsi:type="dcterms:W3CDTF">2015-11-02T00:09:22Z</dcterms:modified>
</cp:coreProperties>
</file>