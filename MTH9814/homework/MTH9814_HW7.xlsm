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0730" windowHeight="8805" activeTab="4"/>
  </bookViews>
  <sheets>
    <sheet name="App1PartA" sheetId="1" r:id="rId1"/>
    <sheet name="App1PartB" sheetId="3" r:id="rId2"/>
    <sheet name="App1PartC" sheetId="5" r:id="rId3"/>
    <sheet name="App1PartDEF" sheetId="7" r:id="rId4"/>
    <sheet name="App2" sheetId="8" r:id="rId5"/>
  </sheets>
  <functionGroups builtInGroupCount="17"/>
  <calcPr calcId="144525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7" i="8" l="1"/>
  <c r="C95" i="8"/>
  <c r="C94" i="8"/>
  <c r="C93" i="8"/>
  <c r="C92" i="8"/>
  <c r="G87" i="8"/>
  <c r="C78" i="8"/>
  <c r="C69" i="8"/>
  <c r="C68" i="8"/>
  <c r="C67" i="8"/>
  <c r="C66" i="8"/>
  <c r="L42" i="8"/>
  <c r="C42" i="8"/>
  <c r="L41" i="8"/>
  <c r="C41" i="8"/>
  <c r="L31" i="8"/>
  <c r="C31" i="8"/>
  <c r="L29" i="8"/>
  <c r="L28" i="8"/>
  <c r="C28" i="8"/>
  <c r="L26" i="8"/>
  <c r="C26" i="8"/>
  <c r="L25" i="8"/>
  <c r="C25" i="8"/>
  <c r="L23" i="8"/>
  <c r="C23" i="8"/>
  <c r="L22" i="8"/>
  <c r="C19" i="8"/>
  <c r="C18" i="8"/>
  <c r="C16" i="8"/>
  <c r="C15" i="8"/>
  <c r="B57" i="7" l="1"/>
  <c r="E41" i="7"/>
  <c r="D41" i="7"/>
  <c r="C41" i="7"/>
  <c r="B13" i="5"/>
  <c r="A65" i="7"/>
  <c r="A63" i="7"/>
  <c r="D14" i="3" l="1"/>
  <c r="B60" i="7" l="1"/>
  <c r="B59" i="7"/>
  <c r="E57" i="7"/>
  <c r="D57" i="7"/>
  <c r="B8" i="7"/>
  <c r="B31" i="7" l="1"/>
  <c r="B36" i="7" s="1"/>
  <c r="B35" i="7" l="1"/>
  <c r="B34" i="7"/>
  <c r="E8" i="7"/>
  <c r="E7" i="7"/>
  <c r="D14" i="7" s="1"/>
  <c r="D15" i="7" s="1"/>
  <c r="D16" i="7" s="1"/>
  <c r="E6" i="7"/>
  <c r="B14" i="7" s="1"/>
  <c r="B15" i="7" s="1"/>
  <c r="C36" i="7"/>
  <c r="C34" i="7"/>
  <c r="C35" i="7"/>
  <c r="B17" i="7" l="1"/>
  <c r="D17" i="7"/>
  <c r="D18" i="7" s="1"/>
  <c r="D19" i="7" s="1"/>
  <c r="C40" i="7" s="1"/>
  <c r="F14" i="7"/>
  <c r="B16" i="7"/>
  <c r="D15" i="3"/>
  <c r="D19" i="3"/>
  <c r="D16" i="3"/>
  <c r="D17" i="3"/>
  <c r="D18" i="3"/>
  <c r="D40" i="7" l="1"/>
  <c r="E40" i="7"/>
  <c r="B18" i="7"/>
  <c r="B19" i="7" s="1"/>
  <c r="F15" i="7"/>
  <c r="F17" i="7" s="1"/>
  <c r="C39" i="7" l="1"/>
  <c r="F16" i="7"/>
  <c r="F18" i="7" s="1"/>
  <c r="F19" i="7" s="1"/>
  <c r="B11" i="5"/>
  <c r="E8" i="5"/>
  <c r="E7" i="5"/>
  <c r="E6" i="5"/>
  <c r="B41" i="7" l="1"/>
  <c r="D39" i="7"/>
  <c r="E39" i="7"/>
  <c r="E8" i="3"/>
  <c r="E7" i="3"/>
  <c r="E6" i="3"/>
  <c r="B44" i="7" l="1"/>
  <c r="B46" i="7"/>
  <c r="B45" i="7"/>
  <c r="F19" i="1"/>
  <c r="F18" i="1"/>
  <c r="F17" i="1"/>
  <c r="F16" i="1"/>
  <c r="F15" i="1"/>
  <c r="F14" i="1"/>
  <c r="D19" i="1"/>
  <c r="D18" i="1"/>
  <c r="D17" i="1"/>
  <c r="D16" i="1"/>
  <c r="D15" i="1"/>
  <c r="D14" i="1"/>
  <c r="B19" i="1"/>
  <c r="B18" i="1"/>
  <c r="B17" i="1"/>
  <c r="B16" i="1"/>
  <c r="B15" i="1"/>
  <c r="B14" i="1"/>
  <c r="A51" i="7" l="1"/>
  <c r="A49" i="7"/>
  <c r="E7" i="1"/>
  <c r="E8" i="1"/>
  <c r="E6" i="1"/>
</calcChain>
</file>

<file path=xl/sharedStrings.xml><?xml version="1.0" encoding="utf-8"?>
<sst xmlns="http://schemas.openxmlformats.org/spreadsheetml/2006/main" count="192" uniqueCount="113">
  <si>
    <t>q</t>
  </si>
  <si>
    <t>r</t>
  </si>
  <si>
    <t>Asset</t>
  </si>
  <si>
    <t>B</t>
  </si>
  <si>
    <t>A</t>
  </si>
  <si>
    <t>Basket</t>
  </si>
  <si>
    <t>S0</t>
  </si>
  <si>
    <t>Basket Quantity</t>
  </si>
  <si>
    <t>6M - ATMf European Option IV</t>
  </si>
  <si>
    <t>Part A</t>
  </si>
  <si>
    <t>6M forward price</t>
  </si>
  <si>
    <t>Asset A AtmF Option Pricing</t>
  </si>
  <si>
    <t>d1</t>
  </si>
  <si>
    <t>d2</t>
  </si>
  <si>
    <t>T</t>
  </si>
  <si>
    <t>CallPrice</t>
  </si>
  <si>
    <t>PutPrice</t>
  </si>
  <si>
    <t>StraddlePrice</t>
  </si>
  <si>
    <t>StraddlePrice on 0.4 shares</t>
  </si>
  <si>
    <t>Asset B AtmF Option Pricing</t>
  </si>
  <si>
    <t>StraddlePrice on 1.25 Shares</t>
  </si>
  <si>
    <t>Basket AtmF Option Pricing</t>
  </si>
  <si>
    <t>StraddlePrice on 1 Share</t>
  </si>
  <si>
    <t>Part B</t>
  </si>
  <si>
    <t>IsCall</t>
  </si>
  <si>
    <t>Correlation</t>
  </si>
  <si>
    <t>BasketOption</t>
  </si>
  <si>
    <t>Part C</t>
  </si>
  <si>
    <t>Target StraddlePrice</t>
  </si>
  <si>
    <t>X_K</t>
  </si>
  <si>
    <t>X_0</t>
  </si>
  <si>
    <t>N_euro</t>
  </si>
  <si>
    <t>N_dollar</t>
  </si>
  <si>
    <t>r_euro</t>
  </si>
  <si>
    <t>r_dollar</t>
  </si>
  <si>
    <t>USDEur Vol</t>
  </si>
  <si>
    <t>V_call</t>
  </si>
  <si>
    <t>European Call on Euro</t>
  </si>
  <si>
    <t>European Put on Dollar (dollar is foreign)</t>
  </si>
  <si>
    <t>V_put</t>
  </si>
  <si>
    <t>in Euro</t>
  </si>
  <si>
    <t>in Dollar</t>
  </si>
  <si>
    <t>Delta of Call</t>
  </si>
  <si>
    <t>Delta of Put</t>
  </si>
  <si>
    <t>Thus,</t>
  </si>
  <si>
    <t>Euro MMA</t>
  </si>
  <si>
    <t>Dollar MMA</t>
  </si>
  <si>
    <t>To delta hedge, we need:</t>
  </si>
  <si>
    <t>To delta hedge we need:</t>
  </si>
  <si>
    <t>Long N_f * exp(-r_f * T) * N(d1) of foreign money market asset (euro)</t>
  </si>
  <si>
    <t>Short N_f * exp(-r_f * T) * N(-d1) of foreign money market asset (dollar)</t>
  </si>
  <si>
    <t>Short N_f * exp(-r * T) * N(d2) * X_K of domestic money market asset (dollar)</t>
  </si>
  <si>
    <t>Euros</t>
  </si>
  <si>
    <t>Dollars</t>
  </si>
  <si>
    <t>Unit</t>
  </si>
  <si>
    <t>Q</t>
  </si>
  <si>
    <t>dollars</t>
  </si>
  <si>
    <t>eta</t>
  </si>
  <si>
    <t>lower barrier</t>
  </si>
  <si>
    <t>w</t>
  </si>
  <si>
    <t>pay-at-hit</t>
  </si>
  <si>
    <t>H</t>
  </si>
  <si>
    <t>r_f</t>
  </si>
  <si>
    <t>sigma</t>
  </si>
  <si>
    <t>theta</t>
  </si>
  <si>
    <t>v</t>
  </si>
  <si>
    <t>e+</t>
  </si>
  <si>
    <t>e-</t>
  </si>
  <si>
    <t>V_one-touch</t>
  </si>
  <si>
    <t>Part D</t>
  </si>
  <si>
    <t>Note that the above equation is satisfied for the options that pay at maturity (that is w = 1)</t>
  </si>
  <si>
    <t>V_no-touch</t>
  </si>
  <si>
    <t>We have implemented a quasiAnalyticPricer</t>
  </si>
  <si>
    <t>SampleNodes</t>
  </si>
  <si>
    <t>NumPoints</t>
  </si>
  <si>
    <t>Implied Correlation</t>
  </si>
  <si>
    <t>From Part A:</t>
  </si>
  <si>
    <t>The sum of the prices of straddles on Asset A (0.4 shares) and Asset B (1.25 shares)</t>
  </si>
  <si>
    <t>To finance this, the quantity of straddle on the index needed is:</t>
  </si>
  <si>
    <t>Price</t>
  </si>
  <si>
    <t>We note from part B that the higher the correlation, the more expensive straddle on the basket becomes.</t>
  </si>
  <si>
    <t>Since the portfolio is short the straddle on the index (basket), the portfolio is short correlation.</t>
  </si>
  <si>
    <t>Part E</t>
  </si>
  <si>
    <t>From part C,</t>
  </si>
  <si>
    <t>Market Implied Correlation</t>
  </si>
  <si>
    <t>Portfolio</t>
  </si>
  <si>
    <t>Value</t>
  </si>
  <si>
    <t>Straddle on asset A</t>
  </si>
  <si>
    <t>Straddle on asset B</t>
  </si>
  <si>
    <t>Straddle on the index</t>
  </si>
  <si>
    <t>Quantity</t>
  </si>
  <si>
    <t>Quantity Adjusted Value at Market Implied Correlation</t>
  </si>
  <si>
    <t>Sample Nodes</t>
  </si>
  <si>
    <t>Quantity Adjusted Value at Market Implied Correlation - 0.01</t>
  </si>
  <si>
    <t>Quantity Adjusted Value at Market Implied Correlation + 0.01</t>
  </si>
  <si>
    <t>Thus, the portfolio value for different correlations are:</t>
  </si>
  <si>
    <t>at market implied</t>
  </si>
  <si>
    <t>decrease by 0.01</t>
  </si>
  <si>
    <t>increase by 0.01</t>
  </si>
  <si>
    <t xml:space="preserve">The PL under increase of 0.01 in correlation is </t>
  </si>
  <si>
    <t>The PL under decrease of 0.01 in correlation is</t>
  </si>
  <si>
    <t>Part F</t>
  </si>
  <si>
    <t>We use the data table to vary the initial prices of asset A and B. The objective value is the portfolio value given at the cell B44</t>
  </si>
  <si>
    <t>(This is B19 + D19; hard coded because this should not change in part F)</t>
  </si>
  <si>
    <t>Asset A Price</t>
  </si>
  <si>
    <t>Asset B Price</t>
  </si>
  <si>
    <t>Objective value:</t>
  </si>
  <si>
    <t>Thus, the delta of the portfolio with respect to asset A is</t>
  </si>
  <si>
    <t>The delta of the portfolio with respect to asset B is</t>
  </si>
  <si>
    <t>(short position - this is -A22/F19; hard coded because this should not change in part F)</t>
  </si>
  <si>
    <t>Long N_f * exp(-r * T) * N(-d2) * X_K of domestic money market asset ( euro)</t>
  </si>
  <si>
    <t>euros</t>
  </si>
  <si>
    <t>upper barrier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</si>
</sst>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_(* #,##0_);_(* \(#,##0\);_(* &quot;-&quot;??_);_(@_)"/>
    <numFmt numFmtId="165" formatCode="0.0000000"/>
    <numFmt numFmtId="166" formatCode="0.000"/>
    <numFmt numFmtId="167" formatCode="0.000000000"/>
    <numFmt numFmtId="168" formatCode="0.00000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0" borderId="0" xfId="0" applyFont="1"/>
    <xf numFmtId="0" fontId="1" fillId="3" borderId="0" xfId="0" applyFont="1" applyFill="1"/>
    <xf numFmtId="164" fontId="0" fillId="0" borderId="0" xfId="1" applyNumberFormat="1" applyFont="1"/>
    <xf numFmtId="165" fontId="0" fillId="0" borderId="0" xfId="0" applyNumberFormat="1"/>
    <xf numFmtId="43" fontId="0" fillId="0" borderId="0" xfId="0" applyNumberFormat="1"/>
    <xf numFmtId="166" fontId="0" fillId="0" borderId="0" xfId="0" applyNumberFormat="1"/>
    <xf numFmtId="0" fontId="0" fillId="4" borderId="0" xfId="0" applyFill="1"/>
    <xf numFmtId="164" fontId="0" fillId="0" borderId="3" xfId="1" applyNumberFormat="1" applyFont="1" applyBorder="1"/>
    <xf numFmtId="0" fontId="0" fillId="0" borderId="6" xfId="0" applyBorder="1"/>
    <xf numFmtId="0" fontId="0" fillId="0" borderId="8" xfId="0" applyBorder="1"/>
    <xf numFmtId="0" fontId="1" fillId="2" borderId="0" xfId="0" applyFont="1" applyFill="1"/>
    <xf numFmtId="0" fontId="0" fillId="0" borderId="0" xfId="0" applyFont="1"/>
    <xf numFmtId="0" fontId="3" fillId="0" borderId="6" xfId="0" applyFont="1" applyFill="1" applyBorder="1"/>
    <xf numFmtId="0" fontId="3" fillId="0" borderId="7" xfId="0" applyFont="1" applyFill="1" applyBorder="1"/>
    <xf numFmtId="0" fontId="3" fillId="0" borderId="8" xfId="0" applyFont="1" applyFill="1" applyBorder="1"/>
    <xf numFmtId="0" fontId="0" fillId="0" borderId="13" xfId="0" applyBorder="1"/>
    <xf numFmtId="0" fontId="0" fillId="0" borderId="15" xfId="0" applyBorder="1"/>
    <xf numFmtId="0" fontId="0" fillId="0" borderId="10" xfId="0" applyBorder="1"/>
    <xf numFmtId="0" fontId="0" fillId="0" borderId="14" xfId="0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167" fontId="3" fillId="2" borderId="0" xfId="0" applyNumberFormat="1" applyFont="1" applyFill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" borderId="0" xfId="0" applyFill="1"/>
    <xf numFmtId="168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</xdr:colOff>
      <xdr:row>0</xdr:row>
      <xdr:rowOff>15240</xdr:rowOff>
    </xdr:from>
    <xdr:to>
      <xdr:col>5</xdr:col>
      <xdr:colOff>320040</xdr:colOff>
      <xdr:row>9</xdr:row>
      <xdr:rowOff>75615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" y="15240"/>
          <a:ext cx="3960495" cy="177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266700</xdr:colOff>
      <xdr:row>0</xdr:row>
      <xdr:rowOff>0</xdr:rowOff>
    </xdr:from>
    <xdr:to>
      <xdr:col>14</xdr:col>
      <xdr:colOff>457200</xdr:colOff>
      <xdr:row>8</xdr:row>
      <xdr:rowOff>104957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2725" y="0"/>
          <a:ext cx="3838575" cy="16289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5</xdr:col>
      <xdr:colOff>617220</xdr:colOff>
      <xdr:row>34</xdr:row>
      <xdr:rowOff>147650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34075"/>
          <a:ext cx="3693795" cy="5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579120</xdr:colOff>
      <xdr:row>31</xdr:row>
      <xdr:rowOff>129540</xdr:rowOff>
    </xdr:from>
    <xdr:to>
      <xdr:col>15</xdr:col>
      <xdr:colOff>381000</xdr:colOff>
      <xdr:row>34</xdr:row>
      <xdr:rowOff>40005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5145" y="5882640"/>
          <a:ext cx="4059555" cy="4819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</xdr:row>
      <xdr:rowOff>172300</xdr:rowOff>
    </xdr:from>
    <xdr:to>
      <xdr:col>3</xdr:col>
      <xdr:colOff>312420</xdr:colOff>
      <xdr:row>63</xdr:row>
      <xdr:rowOff>144780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297375"/>
          <a:ext cx="2169795" cy="1496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609599</xdr:colOff>
      <xdr:row>69</xdr:row>
      <xdr:rowOff>175260</xdr:rowOff>
    </xdr:from>
    <xdr:to>
      <xdr:col>8</xdr:col>
      <xdr:colOff>90250</xdr:colOff>
      <xdr:row>75</xdr:row>
      <xdr:rowOff>160020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599" y="12957810"/>
          <a:ext cx="5167076" cy="1127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81</xdr:row>
      <xdr:rowOff>0</xdr:rowOff>
    </xdr:from>
    <xdr:to>
      <xdr:col>8</xdr:col>
      <xdr:colOff>525780</xdr:colOff>
      <xdr:row>83</xdr:row>
      <xdr:rowOff>0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6175" y="15078075"/>
          <a:ext cx="252603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EEACA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9"/>
  <sheetViews>
    <sheetView workbookViewId="0">
      <selection activeCell="D16" sqref="D16"/>
    </sheetView>
  </sheetViews>
  <sheetFormatPr defaultRowHeight="15" x14ac:dyDescent="0.25"/>
  <cols>
    <col min="1" max="1" width="25.28515625" customWidth="1"/>
    <col min="3" max="3" width="25.140625" customWidth="1"/>
    <col min="4" max="4" width="26.42578125" bestFit="1" customWidth="1"/>
    <col min="5" max="5" width="21.140625" customWidth="1"/>
    <col min="6" max="6" width="23.28515625" customWidth="1"/>
  </cols>
  <sheetData>
    <row r="1" spans="1:6" ht="14.45" x14ac:dyDescent="0.3">
      <c r="A1" t="s">
        <v>14</v>
      </c>
      <c r="B1">
        <v>0.5</v>
      </c>
    </row>
    <row r="2" spans="1:6" ht="14.45" x14ac:dyDescent="0.3">
      <c r="A2" t="s">
        <v>0</v>
      </c>
      <c r="B2">
        <v>0</v>
      </c>
    </row>
    <row r="3" spans="1:6" ht="14.45" x14ac:dyDescent="0.3">
      <c r="A3" t="s">
        <v>1</v>
      </c>
      <c r="B3">
        <v>0.01</v>
      </c>
    </row>
    <row r="5" spans="1:6" ht="14.45" x14ac:dyDescent="0.3">
      <c r="A5" t="s">
        <v>2</v>
      </c>
      <c r="B5" t="s">
        <v>6</v>
      </c>
      <c r="C5" t="s">
        <v>7</v>
      </c>
      <c r="D5" t="s">
        <v>8</v>
      </c>
      <c r="E5" t="s">
        <v>10</v>
      </c>
    </row>
    <row r="6" spans="1:6" ht="14.45" x14ac:dyDescent="0.3">
      <c r="A6" t="s">
        <v>4</v>
      </c>
      <c r="B6">
        <v>125</v>
      </c>
      <c r="C6">
        <v>0.4</v>
      </c>
      <c r="D6">
        <v>0.32500000000000001</v>
      </c>
      <c r="E6">
        <f>B6*EXP($B$3*0.5)</f>
        <v>125.62656510742512</v>
      </c>
    </row>
    <row r="7" spans="1:6" ht="14.45" x14ac:dyDescent="0.3">
      <c r="A7" t="s">
        <v>3</v>
      </c>
      <c r="B7">
        <v>40</v>
      </c>
      <c r="C7">
        <v>1.25</v>
      </c>
      <c r="D7">
        <v>0.45</v>
      </c>
      <c r="E7">
        <f t="shared" ref="E7:E8" si="0">B7*EXP($B$3*0.5)</f>
        <v>40.200500834376037</v>
      </c>
    </row>
    <row r="8" spans="1:6" ht="14.45" x14ac:dyDescent="0.3">
      <c r="A8" t="s">
        <v>5</v>
      </c>
      <c r="B8">
        <v>100</v>
      </c>
      <c r="C8">
        <v>1</v>
      </c>
      <c r="D8">
        <v>0.31</v>
      </c>
      <c r="E8">
        <f t="shared" si="0"/>
        <v>100.5012520859401</v>
      </c>
    </row>
    <row r="10" spans="1:6" s="11" customFormat="1" ht="14.45" x14ac:dyDescent="0.3">
      <c r="A10" s="11" t="s">
        <v>9</v>
      </c>
    </row>
    <row r="11" spans="1:6" thickBot="1" x14ac:dyDescent="0.35"/>
    <row r="12" spans="1:6" ht="14.45" x14ac:dyDescent="0.3">
      <c r="A12" s="1" t="s">
        <v>11</v>
      </c>
      <c r="B12" s="2"/>
      <c r="C12" s="2"/>
      <c r="D12" s="2" t="s">
        <v>19</v>
      </c>
      <c r="E12" s="2"/>
      <c r="F12" s="3" t="s">
        <v>21</v>
      </c>
    </row>
    <row r="13" spans="1:6" ht="14.45" x14ac:dyDescent="0.3">
      <c r="A13" s="4"/>
      <c r="B13" s="5"/>
      <c r="C13" s="5"/>
      <c r="D13" s="5"/>
      <c r="E13" s="5"/>
      <c r="F13" s="6"/>
    </row>
    <row r="14" spans="1:6" ht="14.45" x14ac:dyDescent="0.3">
      <c r="A14" s="4" t="s">
        <v>12</v>
      </c>
      <c r="B14" s="5">
        <f>1/(D6*SQRT(B1))*(LN(B6/E6) + (B3-B2+POWER(D6,2)/2)*B1)</f>
        <v>0.1149048519428145</v>
      </c>
      <c r="C14" s="5"/>
      <c r="D14" s="5">
        <f>1/(D7*SQRT(B1))*(LN(B7/E7)+(B3-B2+POWER(D7,2)/2)*B1)</f>
        <v>0.15909902576697355</v>
      </c>
      <c r="E14" s="5"/>
      <c r="F14" s="6">
        <f>1/(D8*SQRT(B1))*(LN(B8/E8)+(B3-B2+POWER(D8,2)/2)*B1)</f>
        <v>0.10960155108391541</v>
      </c>
    </row>
    <row r="15" spans="1:6" ht="14.45" x14ac:dyDescent="0.3">
      <c r="A15" s="4" t="s">
        <v>13</v>
      </c>
      <c r="B15" s="5">
        <f>B14-D6*SQRT(B1)</f>
        <v>-0.11490485194281347</v>
      </c>
      <c r="C15" s="5"/>
      <c r="D15" s="5">
        <f>D14-D7*SQRT(B1)</f>
        <v>-0.15909902576697288</v>
      </c>
      <c r="E15" s="5"/>
      <c r="F15" s="6">
        <f>F14-D8*SQRT(B1)</f>
        <v>-0.10960155108391433</v>
      </c>
    </row>
    <row r="16" spans="1:6" ht="14.45" x14ac:dyDescent="0.3">
      <c r="A16" s="4" t="s">
        <v>15</v>
      </c>
      <c r="B16" s="5">
        <f>B6*EXP(-B2*B1)*_xlfn.NORM.S.DIST(B14,TRUE) - E6*EXP(-B3*B1)*_xlfn.NORM.S.DIST(B15,TRUE)</f>
        <v>11.434932590434222</v>
      </c>
      <c r="C16" s="5"/>
      <c r="D16" s="5">
        <f>B7*EXP(-B2*B1)*_xlfn.NORM.S.DIST(D14,TRUE) - E7*EXP(-B3*B1)*_xlfn.NORM.S.DIST(D15,TRUE)</f>
        <v>5.0563657692229143</v>
      </c>
      <c r="E16" s="5"/>
      <c r="F16" s="6">
        <f>B8*EXP(-B2*B1)*_xlfn.NORM.S.DIST(F14,TRUE) - E8*EXP(-B3*B1)*_xlfn.NORM.S.DIST(F15,TRUE)</f>
        <v>8.7274619516162204</v>
      </c>
    </row>
    <row r="17" spans="1:6" ht="14.45" x14ac:dyDescent="0.3">
      <c r="A17" s="4" t="s">
        <v>16</v>
      </c>
      <c r="B17" s="5">
        <f>E6*EXP(-B3*B1)*_xlfn.NORM.S.DIST(-B15,TRUE) - B6*EXP(-B2*B1)*_xlfn.NORM.S.DIST(-B14,TRUE)</f>
        <v>11.434932590434194</v>
      </c>
      <c r="C17" s="5"/>
      <c r="D17" s="5">
        <f>E7*EXP(-B3*B1)*_xlfn.NORM.S.DIST(-D15,TRUE) - B7*EXP(-B2*B1)*_xlfn.NORM.S.DIST(-D14,TRUE)</f>
        <v>5.0563657692229071</v>
      </c>
      <c r="E17" s="5"/>
      <c r="F17" s="6">
        <f>E8*EXP(-B3*B1)*_xlfn.NORM.S.DIST(-F15,TRUE) - B8*EXP(-B2*B1)*_xlfn.NORM.S.DIST(-F14,TRUE)</f>
        <v>8.7274619516162062</v>
      </c>
    </row>
    <row r="18" spans="1:6" ht="14.45" x14ac:dyDescent="0.3">
      <c r="A18" s="4" t="s">
        <v>17</v>
      </c>
      <c r="B18" s="5">
        <f>B16+B17</f>
        <v>22.869865180868416</v>
      </c>
      <c r="C18" s="5"/>
      <c r="D18" s="5">
        <f>D16+D17</f>
        <v>10.112731538445821</v>
      </c>
      <c r="E18" s="5"/>
      <c r="F18" s="6">
        <f>F16+F17</f>
        <v>17.454923903232427</v>
      </c>
    </row>
    <row r="19" spans="1:6" thickBot="1" x14ac:dyDescent="0.35">
      <c r="A19" s="7" t="s">
        <v>18</v>
      </c>
      <c r="B19" s="8">
        <f>B18*0.4</f>
        <v>9.1479460723473665</v>
      </c>
      <c r="C19" s="8" t="s">
        <v>20</v>
      </c>
      <c r="D19" s="8">
        <f>D18*1.25</f>
        <v>12.640914423057277</v>
      </c>
      <c r="E19" s="8" t="s">
        <v>22</v>
      </c>
      <c r="F19" s="9">
        <f>F18*1</f>
        <v>17.454923903232427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9"/>
  <sheetViews>
    <sheetView zoomScale="102" workbookViewId="0">
      <selection activeCell="D21" sqref="D21"/>
    </sheetView>
  </sheetViews>
  <sheetFormatPr defaultRowHeight="15" x14ac:dyDescent="0.25"/>
  <cols>
    <col min="1" max="1" width="25.28515625" customWidth="1"/>
    <col min="3" max="3" width="25.140625" customWidth="1"/>
    <col min="4" max="4" width="26.42578125" bestFit="1" customWidth="1"/>
    <col min="5" max="5" width="21.140625" customWidth="1"/>
    <col min="6" max="7" width="28" bestFit="1" customWidth="1"/>
  </cols>
  <sheetData>
    <row r="1" spans="1:5" x14ac:dyDescent="0.3">
      <c r="A1" t="s">
        <v>14</v>
      </c>
      <c r="B1">
        <v>0.5</v>
      </c>
    </row>
    <row r="2" spans="1:5" x14ac:dyDescent="0.3">
      <c r="A2" t="s">
        <v>0</v>
      </c>
      <c r="B2">
        <v>0</v>
      </c>
    </row>
    <row r="3" spans="1:5" x14ac:dyDescent="0.3">
      <c r="A3" t="s">
        <v>1</v>
      </c>
      <c r="B3">
        <v>0.01</v>
      </c>
    </row>
    <row r="5" spans="1:5" x14ac:dyDescent="0.3">
      <c r="A5" t="s">
        <v>2</v>
      </c>
      <c r="B5" t="s">
        <v>6</v>
      </c>
      <c r="C5" t="s">
        <v>7</v>
      </c>
      <c r="D5" t="s">
        <v>8</v>
      </c>
      <c r="E5" t="s">
        <v>10</v>
      </c>
    </row>
    <row r="6" spans="1:5" x14ac:dyDescent="0.3">
      <c r="A6" t="s">
        <v>4</v>
      </c>
      <c r="B6">
        <v>125</v>
      </c>
      <c r="C6">
        <v>0.4</v>
      </c>
      <c r="D6">
        <v>0.32500000000000001</v>
      </c>
      <c r="E6">
        <f>B6*EXP($B$3*0.5)</f>
        <v>125.62656510742512</v>
      </c>
    </row>
    <row r="7" spans="1:5" x14ac:dyDescent="0.3">
      <c r="A7" t="s">
        <v>3</v>
      </c>
      <c r="B7">
        <v>40</v>
      </c>
      <c r="C7">
        <v>1.25</v>
      </c>
      <c r="D7">
        <v>0.45</v>
      </c>
      <c r="E7">
        <f t="shared" ref="E7:E8" si="0">B7*EXP($B$3*0.5)</f>
        <v>40.200500834376037</v>
      </c>
    </row>
    <row r="8" spans="1:5" x14ac:dyDescent="0.3">
      <c r="A8" t="s">
        <v>5</v>
      </c>
      <c r="B8">
        <v>100</v>
      </c>
      <c r="C8">
        <v>1</v>
      </c>
      <c r="D8">
        <v>0.31</v>
      </c>
      <c r="E8">
        <f t="shared" si="0"/>
        <v>100.5012520859401</v>
      </c>
    </row>
    <row r="10" spans="1:5" s="11" customFormat="1" x14ac:dyDescent="0.3">
      <c r="A10" s="11" t="s">
        <v>23</v>
      </c>
    </row>
    <row r="11" spans="1:5" x14ac:dyDescent="0.3">
      <c r="A11" t="s">
        <v>72</v>
      </c>
    </row>
    <row r="12" spans="1:5" x14ac:dyDescent="0.3">
      <c r="A12" s="10" t="s">
        <v>26</v>
      </c>
    </row>
    <row r="13" spans="1:5" x14ac:dyDescent="0.3">
      <c r="A13" t="s">
        <v>73</v>
      </c>
      <c r="B13" t="s">
        <v>24</v>
      </c>
      <c r="C13" t="s">
        <v>25</v>
      </c>
      <c r="D13" t="s">
        <v>79</v>
      </c>
    </row>
    <row r="14" spans="1:5" x14ac:dyDescent="0.3">
      <c r="A14">
        <v>195</v>
      </c>
      <c r="B14">
        <v>1</v>
      </c>
      <c r="C14">
        <v>0</v>
      </c>
      <c r="D14">
        <f ca="1">BasketOptionPricer(B14, A14, C14, $E$8)</f>
        <v>7.8696419646305076</v>
      </c>
    </row>
    <row r="15" spans="1:5" x14ac:dyDescent="0.3">
      <c r="A15">
        <v>195</v>
      </c>
      <c r="B15">
        <v>1</v>
      </c>
      <c r="C15">
        <v>-0.99999990000000005</v>
      </c>
      <c r="D15">
        <f t="shared" ref="D15:D19" ca="1" si="1">BasketOptionPricer(B15, A15, C15, $E$8)</f>
        <v>2.3635180074263649</v>
      </c>
    </row>
    <row r="16" spans="1:5" x14ac:dyDescent="0.3">
      <c r="A16">
        <v>195</v>
      </c>
      <c r="B16">
        <v>1</v>
      </c>
      <c r="C16">
        <v>0.99999990000000005</v>
      </c>
      <c r="D16">
        <f t="shared" ca="1" si="1"/>
        <v>10.892582463070877</v>
      </c>
    </row>
    <row r="17" spans="1:4" x14ac:dyDescent="0.3">
      <c r="A17">
        <v>195</v>
      </c>
      <c r="B17">
        <v>0</v>
      </c>
      <c r="C17">
        <v>0</v>
      </c>
      <c r="D17">
        <f t="shared" ca="1" si="1"/>
        <v>7.8698552928142549</v>
      </c>
    </row>
    <row r="18" spans="1:4" x14ac:dyDescent="0.3">
      <c r="A18">
        <v>195</v>
      </c>
      <c r="B18">
        <v>0</v>
      </c>
      <c r="C18">
        <v>-0.99999990000000005</v>
      </c>
      <c r="D18">
        <f t="shared" ca="1" si="1"/>
        <v>2.3645319975830628</v>
      </c>
    </row>
    <row r="19" spans="1:4" x14ac:dyDescent="0.3">
      <c r="A19">
        <v>195</v>
      </c>
      <c r="B19">
        <v>0</v>
      </c>
      <c r="C19">
        <v>0.99999990000000005</v>
      </c>
      <c r="D19">
        <f t="shared" ca="1" si="1"/>
        <v>10.893596453227579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3"/>
  <sheetViews>
    <sheetView zoomScale="102" workbookViewId="0">
      <selection activeCell="B13" sqref="B13"/>
    </sheetView>
  </sheetViews>
  <sheetFormatPr defaultRowHeight="15" x14ac:dyDescent="0.25"/>
  <cols>
    <col min="1" max="1" width="25.28515625" customWidth="1"/>
    <col min="2" max="2" width="12.42578125" bestFit="1" customWidth="1"/>
    <col min="3" max="3" width="25.140625" customWidth="1"/>
    <col min="4" max="4" width="26.42578125" bestFit="1" customWidth="1"/>
    <col min="5" max="5" width="21.140625" customWidth="1"/>
    <col min="6" max="7" width="28" bestFit="1" customWidth="1"/>
  </cols>
  <sheetData>
    <row r="1" spans="1:5" x14ac:dyDescent="0.3">
      <c r="A1" t="s">
        <v>14</v>
      </c>
      <c r="B1">
        <v>0.5</v>
      </c>
    </row>
    <row r="2" spans="1:5" x14ac:dyDescent="0.3">
      <c r="A2" t="s">
        <v>0</v>
      </c>
      <c r="B2">
        <v>0</v>
      </c>
    </row>
    <row r="3" spans="1:5" x14ac:dyDescent="0.3">
      <c r="A3" t="s">
        <v>1</v>
      </c>
      <c r="B3">
        <v>0.01</v>
      </c>
    </row>
    <row r="5" spans="1:5" x14ac:dyDescent="0.3">
      <c r="A5" t="s">
        <v>2</v>
      </c>
      <c r="B5" t="s">
        <v>6</v>
      </c>
      <c r="C5" t="s">
        <v>7</v>
      </c>
      <c r="D5" t="s">
        <v>8</v>
      </c>
      <c r="E5" t="s">
        <v>10</v>
      </c>
    </row>
    <row r="6" spans="1:5" x14ac:dyDescent="0.3">
      <c r="A6" t="s">
        <v>4</v>
      </c>
      <c r="B6">
        <v>125</v>
      </c>
      <c r="C6">
        <v>0.4</v>
      </c>
      <c r="D6">
        <v>0.32500000000000001</v>
      </c>
      <c r="E6">
        <f ca="1">B6*EXP($B$3*0.5)</f>
        <v>125.62656510742512</v>
      </c>
    </row>
    <row r="7" spans="1:5" x14ac:dyDescent="0.3">
      <c r="A7" t="s">
        <v>3</v>
      </c>
      <c r="B7">
        <v>40</v>
      </c>
      <c r="C7">
        <v>1.25</v>
      </c>
      <c r="D7">
        <v>0.45</v>
      </c>
      <c r="E7">
        <f t="shared" ref="E7:E8" ca="1" si="0">B7*EXP($B$3*0.5)</f>
        <v>40.200500834376037</v>
      </c>
    </row>
    <row r="8" spans="1:5" x14ac:dyDescent="0.3">
      <c r="A8" t="s">
        <v>5</v>
      </c>
      <c r="B8">
        <v>100</v>
      </c>
      <c r="C8">
        <v>1</v>
      </c>
      <c r="D8">
        <v>0.31</v>
      </c>
      <c r="E8">
        <f t="shared" ca="1" si="0"/>
        <v>100.5012520859401</v>
      </c>
    </row>
    <row r="10" spans="1:5" s="11" customFormat="1" x14ac:dyDescent="0.3">
      <c r="A10" s="11" t="s">
        <v>27</v>
      </c>
    </row>
    <row r="11" spans="1:5" x14ac:dyDescent="0.3">
      <c r="A11" t="s">
        <v>28</v>
      </c>
      <c r="B11">
        <f ca="1">App1PartA!F19</f>
        <v>17.454923903232427</v>
      </c>
    </row>
    <row r="12" spans="1:5" x14ac:dyDescent="0.3">
      <c r="A12" t="s">
        <v>74</v>
      </c>
      <c r="B12">
        <v>195</v>
      </c>
    </row>
    <row r="13" spans="1:5" x14ac:dyDescent="0.3">
      <c r="A13" s="21" t="s">
        <v>75</v>
      </c>
      <c r="B13" s="38">
        <f ca="1">FindStraddleCorrelation(B12,E8, B11)</f>
        <v>0.2531869202227961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9"/>
  <sheetViews>
    <sheetView topLeftCell="A37" workbookViewId="0">
      <selection activeCell="C64" sqref="C64"/>
    </sheetView>
  </sheetViews>
  <sheetFormatPr defaultRowHeight="15" x14ac:dyDescent="0.25"/>
  <cols>
    <col min="1" max="1" width="25.28515625" customWidth="1"/>
    <col min="2" max="2" width="11.28515625" customWidth="1"/>
    <col min="3" max="3" width="46" bestFit="1" customWidth="1"/>
    <col min="4" max="4" width="51.28515625" bestFit="1" customWidth="1"/>
    <col min="5" max="5" width="51.5703125" bestFit="1" customWidth="1"/>
    <col min="6" max="6" width="23.28515625" customWidth="1"/>
  </cols>
  <sheetData>
    <row r="1" spans="1:6" ht="14.45" x14ac:dyDescent="0.3">
      <c r="A1" t="s">
        <v>14</v>
      </c>
      <c r="B1">
        <v>0.5</v>
      </c>
    </row>
    <row r="2" spans="1:6" ht="14.45" x14ac:dyDescent="0.3">
      <c r="A2" t="s">
        <v>0</v>
      </c>
      <c r="B2">
        <v>0</v>
      </c>
    </row>
    <row r="3" spans="1:6" ht="14.45" x14ac:dyDescent="0.3">
      <c r="A3" t="s">
        <v>1</v>
      </c>
      <c r="B3">
        <v>0.01</v>
      </c>
    </row>
    <row r="5" spans="1:6" ht="14.45" x14ac:dyDescent="0.3">
      <c r="A5" t="s">
        <v>2</v>
      </c>
      <c r="B5" t="s">
        <v>6</v>
      </c>
      <c r="C5" t="s">
        <v>7</v>
      </c>
      <c r="D5" t="s">
        <v>8</v>
      </c>
      <c r="E5" t="s">
        <v>10</v>
      </c>
    </row>
    <row r="6" spans="1:6" ht="14.45" x14ac:dyDescent="0.3">
      <c r="A6" t="s">
        <v>4</v>
      </c>
      <c r="B6">
        <v>125</v>
      </c>
      <c r="C6">
        <v>0.4</v>
      </c>
      <c r="D6">
        <v>0.32500000000000001</v>
      </c>
      <c r="E6">
        <f ca="1">B6*EXP($B$3*0.5)</f>
        <v>125.62656510742512</v>
      </c>
    </row>
    <row r="7" spans="1:6" ht="14.45" x14ac:dyDescent="0.3">
      <c r="A7" t="s">
        <v>3</v>
      </c>
      <c r="B7">
        <v>40</v>
      </c>
      <c r="C7">
        <v>1.25</v>
      </c>
      <c r="D7">
        <v>0.45</v>
      </c>
      <c r="E7">
        <f t="shared" ref="E7:E8" ca="1" si="0">B7*EXP($B$3*0.5)</f>
        <v>40.200500834376037</v>
      </c>
    </row>
    <row r="8" spans="1:6" ht="14.45" x14ac:dyDescent="0.3">
      <c r="A8" t="s">
        <v>5</v>
      </c>
      <c r="B8">
        <f ca="1">B6*C6+B7*C7</f>
        <v>100</v>
      </c>
      <c r="C8">
        <v>1</v>
      </c>
      <c r="D8">
        <v>0.31</v>
      </c>
      <c r="E8">
        <f t="shared" ca="1" si="0"/>
        <v>100.5012520859401</v>
      </c>
    </row>
    <row r="10" spans="1:6" s="11" customFormat="1" ht="14.45" x14ac:dyDescent="0.3">
      <c r="A10" s="11" t="s">
        <v>69</v>
      </c>
    </row>
    <row r="11" spans="1:6" thickBot="1" x14ac:dyDescent="0.35">
      <c r="A11" t="s">
        <v>76</v>
      </c>
    </row>
    <row r="12" spans="1:6" ht="14.45" x14ac:dyDescent="0.3">
      <c r="A12" s="1" t="s">
        <v>11</v>
      </c>
      <c r="B12" s="2"/>
      <c r="C12" s="2"/>
      <c r="D12" s="2" t="s">
        <v>19</v>
      </c>
      <c r="E12" s="2"/>
      <c r="F12" s="3" t="s">
        <v>21</v>
      </c>
    </row>
    <row r="13" spans="1:6" ht="14.45" x14ac:dyDescent="0.3">
      <c r="A13" s="4"/>
      <c r="B13" s="5"/>
      <c r="C13" s="5"/>
      <c r="D13" s="5"/>
      <c r="E13" s="5"/>
      <c r="F13" s="6"/>
    </row>
    <row r="14" spans="1:6" ht="14.45" x14ac:dyDescent="0.3">
      <c r="A14" s="4" t="s">
        <v>12</v>
      </c>
      <c r="B14" s="5">
        <f ca="1">1/(D6*SQRT(B1))*(LN(B6/E6) + (B3-B2+POWER(D6,2)/2)*B1)</f>
        <v>0.1149048519428145</v>
      </c>
      <c r="C14" s="5"/>
      <c r="D14" s="5">
        <f ca="1">1/(D7*SQRT(B1))*(LN(B7/E7)+(B3-B2+POWER(D7,2)/2)*B1)</f>
        <v>0.15909902576697355</v>
      </c>
      <c r="E14" s="5"/>
      <c r="F14" s="6">
        <f ca="1">1/(D8*SQRT(B1))*(LN(B8/E8)+(B3-B2+POWER(D8,2)/2)*B1)</f>
        <v>0.10960155108391541</v>
      </c>
    </row>
    <row r="15" spans="1:6" ht="14.45" x14ac:dyDescent="0.3">
      <c r="A15" s="4" t="s">
        <v>13</v>
      </c>
      <c r="B15" s="5">
        <f ca="1">B14-D6*SQRT(B1)</f>
        <v>-0.11490485194281347</v>
      </c>
      <c r="C15" s="5"/>
      <c r="D15" s="5">
        <f ca="1">D14-D7*SQRT(B1)</f>
        <v>-0.15909902576697288</v>
      </c>
      <c r="E15" s="5"/>
      <c r="F15" s="6">
        <f ca="1">F14-D8*SQRT(B1)</f>
        <v>-0.10960155108391433</v>
      </c>
    </row>
    <row r="16" spans="1:6" ht="14.45" x14ac:dyDescent="0.3">
      <c r="A16" s="4" t="s">
        <v>15</v>
      </c>
      <c r="B16" s="5">
        <f ca="1">B6*EXP(-B2*B1)*_xlfn.NORM.S.DIST(B14,TRUE) - E6*EXP(-B3*B1)*_xlfn.NORM.S.DIST(B15,TRUE)</f>
        <v>11.434932590434222</v>
      </c>
      <c r="C16" s="5"/>
      <c r="D16" s="5">
        <f ca="1">B7*EXP(-B2*B1)*_xlfn.NORM.S.DIST(D14,TRUE) - E7*EXP(-B3*B1)*_xlfn.NORM.S.DIST(D15,TRUE)</f>
        <v>5.0563657692229143</v>
      </c>
      <c r="E16" s="5"/>
      <c r="F16" s="6">
        <f ca="1">B8*EXP(-B2*B1)*_xlfn.NORM.S.DIST(F14,TRUE) - E8*EXP(-B3*B1)*_xlfn.NORM.S.DIST(F15,TRUE)</f>
        <v>8.7274619516162204</v>
      </c>
    </row>
    <row r="17" spans="1:6" ht="14.45" x14ac:dyDescent="0.3">
      <c r="A17" s="4" t="s">
        <v>16</v>
      </c>
      <c r="B17" s="5">
        <f ca="1">E6*EXP(-B3*B1)*_xlfn.NORM.S.DIST(-B15,TRUE) - B6*EXP(-B2*B1)*_xlfn.NORM.S.DIST(-B14,TRUE)</f>
        <v>11.434932590434194</v>
      </c>
      <c r="C17" s="5"/>
      <c r="D17" s="5">
        <f ca="1">E7*EXP(-B3*B1)*_xlfn.NORM.S.DIST(-D15,TRUE) - B7*EXP(-B2*B1)*_xlfn.NORM.S.DIST(-D14,TRUE)</f>
        <v>5.0563657692229071</v>
      </c>
      <c r="E17" s="5"/>
      <c r="F17" s="6">
        <f ca="1">E8*EXP(-B3*B1)*_xlfn.NORM.S.DIST(-F15,TRUE) - B8*EXP(-B2*B1)*_xlfn.NORM.S.DIST(-F14,TRUE)</f>
        <v>8.7274619516162062</v>
      </c>
    </row>
    <row r="18" spans="1:6" ht="14.45" x14ac:dyDescent="0.3">
      <c r="A18" s="4" t="s">
        <v>17</v>
      </c>
      <c r="B18" s="5">
        <f ca="1">B16+B17</f>
        <v>22.869865180868416</v>
      </c>
      <c r="C18" s="5"/>
      <c r="D18" s="5">
        <f ca="1">D16+D17</f>
        <v>10.112731538445821</v>
      </c>
      <c r="E18" s="5"/>
      <c r="F18" s="6">
        <f ca="1">F16+F17</f>
        <v>17.454923903232427</v>
      </c>
    </row>
    <row r="19" spans="1:6" thickBot="1" x14ac:dyDescent="0.35">
      <c r="A19" s="22" t="s">
        <v>18</v>
      </c>
      <c r="B19" s="23">
        <f ca="1">B18*0.4</f>
        <v>9.1479460723473665</v>
      </c>
      <c r="C19" s="23" t="s">
        <v>20</v>
      </c>
      <c r="D19" s="23">
        <f ca="1">D18*1.25</f>
        <v>12.640914423057277</v>
      </c>
      <c r="E19" s="23" t="s">
        <v>22</v>
      </c>
      <c r="F19" s="24">
        <f ca="1">F18*1</f>
        <v>17.454923903232427</v>
      </c>
    </row>
    <row r="21" spans="1:6" ht="14.45" x14ac:dyDescent="0.3">
      <c r="A21" t="s">
        <v>77</v>
      </c>
    </row>
    <row r="22" spans="1:6" ht="14.45" x14ac:dyDescent="0.3">
      <c r="A22">
        <v>21.788860495404641</v>
      </c>
      <c r="B22" t="s">
        <v>103</v>
      </c>
    </row>
    <row r="23" spans="1:6" ht="14.45" x14ac:dyDescent="0.3">
      <c r="A23" t="s">
        <v>78</v>
      </c>
    </row>
    <row r="24" spans="1:6" ht="14.45" x14ac:dyDescent="0.3">
      <c r="A24" s="20">
        <v>-1.2482930671138375</v>
      </c>
      <c r="B24" t="s">
        <v>109</v>
      </c>
    </row>
    <row r="25" spans="1:6" ht="14.45" x14ac:dyDescent="0.3">
      <c r="A25" t="s">
        <v>80</v>
      </c>
    </row>
    <row r="26" spans="1:6" ht="14.45" x14ac:dyDescent="0.3">
      <c r="A26" s="44" t="s">
        <v>81</v>
      </c>
      <c r="B26" s="44"/>
      <c r="C26" s="44"/>
    </row>
    <row r="28" spans="1:6" s="11" customFormat="1" ht="14.45" x14ac:dyDescent="0.3">
      <c r="A28" s="11" t="s">
        <v>82</v>
      </c>
    </row>
    <row r="30" spans="1:6" ht="14.45" x14ac:dyDescent="0.3">
      <c r="A30" t="s">
        <v>83</v>
      </c>
    </row>
    <row r="31" spans="1:6" ht="14.45" x14ac:dyDescent="0.3">
      <c r="A31" t="s">
        <v>84</v>
      </c>
      <c r="B31">
        <f ca="1">App1PartC!B13</f>
        <v>0.25318692020824418</v>
      </c>
    </row>
    <row r="32" spans="1:6" ht="14.45" x14ac:dyDescent="0.3">
      <c r="A32" t="s">
        <v>92</v>
      </c>
      <c r="B32">
        <v>195</v>
      </c>
    </row>
    <row r="33" spans="1:5" ht="14.45" x14ac:dyDescent="0.3">
      <c r="B33" t="s">
        <v>25</v>
      </c>
      <c r="C33" t="s">
        <v>86</v>
      </c>
    </row>
    <row r="34" spans="1:5" ht="14.45" x14ac:dyDescent="0.3">
      <c r="A34" t="s">
        <v>89</v>
      </c>
      <c r="B34">
        <f ca="1">B31+0.01</f>
        <v>0.26318692020824419</v>
      </c>
      <c r="C34">
        <f ca="1">BasketOptionPricer(1, B32,B34,E8) + BasketOptionPricer(0, B32,B34,E8)</f>
        <v>17.519411739841999</v>
      </c>
    </row>
    <row r="35" spans="1:5" ht="14.45" x14ac:dyDescent="0.3">
      <c r="B35">
        <f ca="1">B31</f>
        <v>0.25318692020824418</v>
      </c>
      <c r="C35">
        <f ca="1">BasketOptionPricer(1, B32,B35,E8) + BasketOptionPricer(0, B32,B35,E8)</f>
        <v>17.454923903221719</v>
      </c>
    </row>
    <row r="36" spans="1:5" ht="14.45" x14ac:dyDescent="0.3">
      <c r="B36">
        <f ca="1">B31-0.01</f>
        <v>0.24318692020824417</v>
      </c>
      <c r="C36">
        <f ca="1">BasketOptionPricer(1, B32,B36,E8) + BasketOptionPricer(0, B32,B36,E8)</f>
        <v>17.390211622388449</v>
      </c>
    </row>
    <row r="38" spans="1:5" ht="14.45" x14ac:dyDescent="0.3">
      <c r="A38" t="s">
        <v>85</v>
      </c>
      <c r="B38" t="s">
        <v>90</v>
      </c>
      <c r="C38" t="s">
        <v>91</v>
      </c>
      <c r="D38" t="s">
        <v>93</v>
      </c>
      <c r="E38" t="s">
        <v>94</v>
      </c>
    </row>
    <row r="39" spans="1:5" ht="14.45" x14ac:dyDescent="0.3">
      <c r="A39" t="s">
        <v>87</v>
      </c>
      <c r="B39">
        <v>0.4</v>
      </c>
      <c r="C39">
        <f ca="1">B19</f>
        <v>9.1479460723473665</v>
      </c>
      <c r="D39">
        <f ca="1">C39</f>
        <v>9.1479460723473665</v>
      </c>
      <c r="E39">
        <f ca="1">C39</f>
        <v>9.1479460723473665</v>
      </c>
    </row>
    <row r="40" spans="1:5" ht="14.45" x14ac:dyDescent="0.3">
      <c r="A40" t="s">
        <v>88</v>
      </c>
      <c r="B40">
        <v>1.25</v>
      </c>
      <c r="C40">
        <f ca="1">D19</f>
        <v>12.640914423057277</v>
      </c>
      <c r="D40">
        <f ca="1">C40</f>
        <v>12.640914423057277</v>
      </c>
      <c r="E40">
        <f ca="1">C40</f>
        <v>12.640914423057277</v>
      </c>
    </row>
    <row r="41" spans="1:5" ht="14.45" x14ac:dyDescent="0.3">
      <c r="A41" t="s">
        <v>89</v>
      </c>
      <c r="B41">
        <f ca="1">A24</f>
        <v>-1.2482930671138375</v>
      </c>
      <c r="C41">
        <f ca="1">F19*B41</f>
        <v>-21.788860495404641</v>
      </c>
      <c r="D41">
        <f ca="1">C36*B41</f>
        <v>-21.708080603869981</v>
      </c>
      <c r="E41">
        <f ca="1">C34*B41</f>
        <v>-21.869360214757542</v>
      </c>
    </row>
    <row r="43" spans="1:5" ht="14.45" x14ac:dyDescent="0.3">
      <c r="A43" t="s">
        <v>95</v>
      </c>
    </row>
    <row r="44" spans="1:5" ht="14.45" x14ac:dyDescent="0.3">
      <c r="A44" t="s">
        <v>96</v>
      </c>
      <c r="B44">
        <f ca="1">SUM(C39:C41)</f>
        <v>0</v>
      </c>
    </row>
    <row r="45" spans="1:5" ht="14.45" x14ac:dyDescent="0.3">
      <c r="A45" t="s">
        <v>97</v>
      </c>
      <c r="B45">
        <f ca="1">SUM(D39:D41)</f>
        <v>8.0779891534660919E-2</v>
      </c>
    </row>
    <row r="46" spans="1:5" ht="14.45" x14ac:dyDescent="0.3">
      <c r="A46" t="s">
        <v>98</v>
      </c>
      <c r="B46">
        <f ca="1">SUM(E39:E41)</f>
        <v>-8.0499719352900456E-2</v>
      </c>
    </row>
    <row r="48" spans="1:5" ht="14.45" x14ac:dyDescent="0.3">
      <c r="A48" t="s">
        <v>99</v>
      </c>
    </row>
    <row r="49" spans="1:5" ht="14.45" x14ac:dyDescent="0.3">
      <c r="A49">
        <f ca="1">B46-B44</f>
        <v>-8.0499719352900456E-2</v>
      </c>
    </row>
    <row r="50" spans="1:5" ht="14.45" x14ac:dyDescent="0.3">
      <c r="A50" t="s">
        <v>100</v>
      </c>
    </row>
    <row r="51" spans="1:5" ht="14.45" x14ac:dyDescent="0.3">
      <c r="A51">
        <f ca="1">B45-B44</f>
        <v>8.0779891534660919E-2</v>
      </c>
    </row>
    <row r="53" spans="1:5" s="11" customFormat="1" ht="14.45" x14ac:dyDescent="0.3">
      <c r="A53" s="11" t="s">
        <v>101</v>
      </c>
    </row>
    <row r="55" spans="1:5" ht="14.45" x14ac:dyDescent="0.3">
      <c r="A55" t="s">
        <v>102</v>
      </c>
    </row>
    <row r="56" spans="1:5" ht="14.45" x14ac:dyDescent="0.3">
      <c r="C56" s="39" t="s">
        <v>104</v>
      </c>
      <c r="D56" s="40"/>
      <c r="E56" s="41"/>
    </row>
    <row r="57" spans="1:5" thickBot="1" x14ac:dyDescent="0.35">
      <c r="A57" t="s">
        <v>106</v>
      </c>
      <c r="B57" s="11">
        <f ca="1">B19+D19+C35*A24</f>
        <v>1.3365308859647484E-11</v>
      </c>
      <c r="C57" s="28">
        <v>125</v>
      </c>
      <c r="D57" s="5">
        <f ca="1">125+0.0001</f>
        <v>125.0001</v>
      </c>
      <c r="E57" s="26">
        <f ca="1">125-0.0001</f>
        <v>124.9999</v>
      </c>
    </row>
    <row r="58" spans="1:5" x14ac:dyDescent="0.25">
      <c r="A58" s="39" t="s">
        <v>105</v>
      </c>
      <c r="B58" s="27">
        <v>40</v>
      </c>
      <c r="C58" s="29">
        <f t="dataTable" ref="C58:E60" dt2D="1" dtr="1" r1="B6" r2="B7" ca="1"/>
        <v>1.3365308859647484E-11</v>
      </c>
      <c r="D58" s="30">
        <v>2.6879028744986044E-6</v>
      </c>
      <c r="E58" s="31">
        <v>-2.687948526869377E-6</v>
      </c>
    </row>
    <row r="59" spans="1:5" x14ac:dyDescent="0.25">
      <c r="A59" s="42"/>
      <c r="B59" s="5">
        <f ca="1">40+0.0001</f>
        <v>40.000100000000003</v>
      </c>
      <c r="C59" s="32">
        <v>1.7131848650819848E-5</v>
      </c>
      <c r="D59" s="33">
        <v>1.9819511983598659E-5</v>
      </c>
      <c r="E59" s="34">
        <v>1.4444112917288976E-5</v>
      </c>
    </row>
    <row r="60" spans="1:5" ht="15.75" thickBot="1" x14ac:dyDescent="0.3">
      <c r="A60" s="43"/>
      <c r="B60" s="25">
        <f ca="1">40-0.0001</f>
        <v>39.999899999999997</v>
      </c>
      <c r="C60" s="35">
        <v>-1.713252867929782E-5</v>
      </c>
      <c r="D60" s="36">
        <v>-1.4444413004355283E-5</v>
      </c>
      <c r="E60" s="37">
        <v>-1.9820716705254426E-5</v>
      </c>
    </row>
    <row r="62" spans="1:5" ht="14.45" x14ac:dyDescent="0.3">
      <c r="A62" t="s">
        <v>107</v>
      </c>
    </row>
    <row r="63" spans="1:5" ht="14.45" x14ac:dyDescent="0.3">
      <c r="A63" s="20">
        <f ca="1">(D58-E58)/0.0002</f>
        <v>2.6879257006839907E-2</v>
      </c>
    </row>
    <row r="64" spans="1:5" ht="14.45" x14ac:dyDescent="0.3">
      <c r="A64" t="s">
        <v>108</v>
      </c>
    </row>
    <row r="65" spans="1:2" ht="14.45" x14ac:dyDescent="0.3">
      <c r="A65" s="20">
        <f ca="1">(C59-C60)/0.0002</f>
        <v>0.17132188665058834</v>
      </c>
    </row>
    <row r="69" spans="1:2" x14ac:dyDescent="0.25">
      <c r="B69" s="45"/>
    </row>
  </sheetData>
  <mergeCells count="2">
    <mergeCell ref="C56:E56"/>
    <mergeCell ref="A58:A60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2:O97"/>
  <sheetViews>
    <sheetView tabSelected="1" workbookViewId="0">
      <selection activeCell="I56" sqref="I56"/>
    </sheetView>
  </sheetViews>
  <sheetFormatPr defaultRowHeight="15" x14ac:dyDescent="0.25"/>
  <cols>
    <col min="2" max="2" width="12.140625" customWidth="1"/>
    <col min="3" max="3" width="15.7109375" bestFit="1" customWidth="1"/>
    <col min="6" max="6" width="11.7109375" customWidth="1"/>
    <col min="11" max="11" width="11.5703125" customWidth="1"/>
    <col min="12" max="12" width="15.7109375" bestFit="1" customWidth="1"/>
  </cols>
  <sheetData>
    <row r="12" spans="2:3" x14ac:dyDescent="0.25">
      <c r="B12" t="s">
        <v>31</v>
      </c>
      <c r="C12" s="12">
        <v>1000000</v>
      </c>
    </row>
    <row r="13" spans="2:3" x14ac:dyDescent="0.25">
      <c r="B13" t="s">
        <v>32</v>
      </c>
      <c r="C13" s="12">
        <v>1300000</v>
      </c>
    </row>
    <row r="15" spans="2:3" x14ac:dyDescent="0.25">
      <c r="B15" t="s">
        <v>33</v>
      </c>
      <c r="C15">
        <f ca="1">0.183/100</f>
        <v>1.83E-3</v>
      </c>
    </row>
    <row r="16" spans="2:3" x14ac:dyDescent="0.25">
      <c r="B16" t="s">
        <v>34</v>
      </c>
      <c r="C16">
        <f ca="1">0.3095/100</f>
        <v>3.0950000000000001E-3</v>
      </c>
    </row>
    <row r="18" spans="1:15" x14ac:dyDescent="0.25">
      <c r="B18" t="s">
        <v>35</v>
      </c>
      <c r="C18">
        <f ca="1">8/100</f>
        <v>0.08</v>
      </c>
    </row>
    <row r="19" spans="1:15" x14ac:dyDescent="0.25">
      <c r="B19" t="s">
        <v>14</v>
      </c>
      <c r="C19">
        <f ca="1">3/12</f>
        <v>0.25</v>
      </c>
    </row>
    <row r="20" spans="1:15" x14ac:dyDescent="0.25">
      <c r="A20" t="s">
        <v>9</v>
      </c>
    </row>
    <row r="21" spans="1:15" x14ac:dyDescent="0.25">
      <c r="B21" t="s">
        <v>37</v>
      </c>
      <c r="K21" t="s">
        <v>38</v>
      </c>
    </row>
    <row r="22" spans="1:15" x14ac:dyDescent="0.25">
      <c r="B22" t="s">
        <v>30</v>
      </c>
      <c r="C22">
        <v>1.29</v>
      </c>
      <c r="K22" t="s">
        <v>30</v>
      </c>
      <c r="L22">
        <f ca="1">1/C22</f>
        <v>0.77519379844961234</v>
      </c>
    </row>
    <row r="23" spans="1:15" x14ac:dyDescent="0.25">
      <c r="B23" t="s">
        <v>29</v>
      </c>
      <c r="C23">
        <f ca="1">C13/C12</f>
        <v>1.3</v>
      </c>
      <c r="K23" t="s">
        <v>29</v>
      </c>
      <c r="L23">
        <f ca="1">C12/C13</f>
        <v>0.76923076923076927</v>
      </c>
    </row>
    <row r="25" spans="1:15" x14ac:dyDescent="0.25">
      <c r="B25" t="s">
        <v>12</v>
      </c>
      <c r="C25">
        <f ca="1">1/(C18*SQRT(C19)) * (LN(C22/C23)+(C16-C15+0.5*C18*C18)*C19)</f>
        <v>-0.16514490234775694</v>
      </c>
      <c r="K25" t="s">
        <v>12</v>
      </c>
      <c r="L25">
        <f ca="1">1/(C18*SQRT(C19))*(LN(L22/L23)+(C15-C16+0.5*C18*C18)*C19)</f>
        <v>0.20514490234775246</v>
      </c>
    </row>
    <row r="26" spans="1:15" x14ac:dyDescent="0.25">
      <c r="B26" t="s">
        <v>13</v>
      </c>
      <c r="C26">
        <f ca="1">C25-C18*SQRT(C19)</f>
        <v>-0.20514490234775695</v>
      </c>
      <c r="K26" t="s">
        <v>13</v>
      </c>
      <c r="L26">
        <f ca="1">L25-C18*SQRT(C19)</f>
        <v>0.16514490234775245</v>
      </c>
    </row>
    <row r="28" spans="1:15" x14ac:dyDescent="0.25">
      <c r="B28" t="s">
        <v>36</v>
      </c>
      <c r="C28" s="13">
        <f ca="1">C12*(C22*EXP(-C15*C19)*_xlfn.NORM.S.DIST(C25,TRUE) - C23*EXP(-C16*C19)*_xlfn.NORM.S.DIST(C26,TRUE))</f>
        <v>16211.71501448948</v>
      </c>
      <c r="D28" t="s">
        <v>41</v>
      </c>
      <c r="K28" t="s">
        <v>39</v>
      </c>
      <c r="L28">
        <f ca="1">C13*(L23*EXP(-C15*C19)*_xlfn.NORM.S.DIST(-L26, TRUE)-L22*EXP(-C16*C19)*_xlfn.NORM.S.DIST(-L25,TRUE))</f>
        <v>12567.220941464802</v>
      </c>
      <c r="M28" t="s">
        <v>40</v>
      </c>
    </row>
    <row r="29" spans="1:15" x14ac:dyDescent="0.25">
      <c r="C29" s="14"/>
      <c r="L29" s="13">
        <f ca="1">L28*C22</f>
        <v>16211.715014489595</v>
      </c>
    </row>
    <row r="30" spans="1:15" x14ac:dyDescent="0.25">
      <c r="A30" t="s">
        <v>23</v>
      </c>
    </row>
    <row r="31" spans="1:15" x14ac:dyDescent="0.25">
      <c r="B31" t="s">
        <v>42</v>
      </c>
      <c r="C31">
        <f ca="1">EXP(-C15*C19)*_xlfn.NORM.S.DIST(C25,TRUE)</f>
        <v>0.43421626622139214</v>
      </c>
      <c r="J31" s="16"/>
      <c r="K31" s="16" t="s">
        <v>43</v>
      </c>
      <c r="L31" s="16">
        <f ca="1">-EXP(-C16*C19)*_xlfn.NORM.S.DIST(-L25,TRUE)</f>
        <v>-0.41840559108546821</v>
      </c>
      <c r="M31" s="16"/>
      <c r="N31" s="16"/>
      <c r="O31" s="16"/>
    </row>
    <row r="32" spans="1:15" x14ac:dyDescent="0.25">
      <c r="J32" s="16"/>
      <c r="K32" s="16"/>
      <c r="L32" s="16"/>
      <c r="M32" s="16"/>
      <c r="N32" s="16"/>
      <c r="O32" s="16"/>
    </row>
    <row r="33" spans="1:15" x14ac:dyDescent="0.25">
      <c r="J33" s="16"/>
      <c r="K33" s="16"/>
      <c r="L33" s="16"/>
      <c r="M33" s="16"/>
      <c r="N33" s="16"/>
      <c r="O33" s="16"/>
    </row>
    <row r="34" spans="1:15" x14ac:dyDescent="0.25">
      <c r="J34" s="16"/>
      <c r="K34" s="16"/>
      <c r="L34" s="16"/>
      <c r="M34" s="16"/>
      <c r="N34" s="16"/>
      <c r="O34" s="16"/>
    </row>
    <row r="35" spans="1:15" x14ac:dyDescent="0.25">
      <c r="J35" s="16"/>
      <c r="K35" s="16"/>
      <c r="L35" s="16"/>
      <c r="M35" s="16"/>
      <c r="N35" s="16"/>
      <c r="O35" s="16"/>
    </row>
    <row r="36" spans="1:15" x14ac:dyDescent="0.25">
      <c r="B36" t="s">
        <v>47</v>
      </c>
      <c r="J36" s="16"/>
      <c r="K36" s="16" t="s">
        <v>48</v>
      </c>
      <c r="L36" s="16"/>
      <c r="M36" s="16"/>
      <c r="N36" s="16"/>
      <c r="O36" s="16"/>
    </row>
    <row r="37" spans="1:15" x14ac:dyDescent="0.25">
      <c r="B37" t="s">
        <v>49</v>
      </c>
      <c r="J37" s="16"/>
      <c r="K37" s="16" t="s">
        <v>110</v>
      </c>
      <c r="L37" s="16"/>
      <c r="M37" s="16"/>
      <c r="N37" s="16"/>
      <c r="O37" s="16"/>
    </row>
    <row r="38" spans="1:15" x14ac:dyDescent="0.25">
      <c r="B38" t="s">
        <v>51</v>
      </c>
      <c r="J38" s="16"/>
      <c r="K38" s="16" t="s">
        <v>50</v>
      </c>
      <c r="L38" s="16"/>
      <c r="M38" s="16"/>
      <c r="N38" s="16"/>
      <c r="O38" s="16"/>
    </row>
    <row r="39" spans="1:15" x14ac:dyDescent="0.25">
      <c r="J39" s="16"/>
      <c r="K39" s="16"/>
      <c r="L39" s="16"/>
      <c r="M39" s="16"/>
      <c r="N39" s="16"/>
      <c r="O39" s="16"/>
    </row>
    <row r="40" spans="1:15" x14ac:dyDescent="0.25">
      <c r="B40" t="s">
        <v>44</v>
      </c>
      <c r="D40" t="s">
        <v>54</v>
      </c>
      <c r="J40" s="16"/>
      <c r="K40" s="16" t="s">
        <v>44</v>
      </c>
      <c r="L40" s="16"/>
      <c r="M40" s="16"/>
      <c r="N40" s="16"/>
      <c r="O40" s="16"/>
    </row>
    <row r="41" spans="1:15" x14ac:dyDescent="0.25">
      <c r="B41" t="s">
        <v>45</v>
      </c>
      <c r="C41">
        <f ca="1">C12*EXP(-C15*C19)*_xlfn.NORM.S.DIST(C25,TRUE)</f>
        <v>434216.2662213922</v>
      </c>
      <c r="D41" t="s">
        <v>52</v>
      </c>
      <c r="E41" s="15"/>
      <c r="J41" s="16"/>
      <c r="K41" s="16" t="s">
        <v>45</v>
      </c>
      <c r="L41" s="16">
        <f ca="1">C13*EXP(-C15*C19)*_xlfn.NORM.S.DIST(-L26,TRUE)*L23</f>
        <v>434216.26622139401</v>
      </c>
      <c r="M41" s="16" t="s">
        <v>111</v>
      </c>
      <c r="N41" s="16"/>
      <c r="O41" s="16"/>
    </row>
    <row r="42" spans="1:15" x14ac:dyDescent="0.25">
      <c r="B42" t="s">
        <v>46</v>
      </c>
      <c r="C42">
        <f ca="1">-C12*EXP(-C16*C19)*_xlfn.NORM.S.DIST(C26,TRUE)*C23</f>
        <v>-543927.26841110643</v>
      </c>
      <c r="D42" t="s">
        <v>53</v>
      </c>
      <c r="J42" s="16"/>
      <c r="K42" s="16" t="s">
        <v>46</v>
      </c>
      <c r="L42" s="16">
        <f ca="1">-C13*EXP(-C16*C19)*_xlfn.NORM.S.DIST(-L25,TRUE)</f>
        <v>-543927.26841110864</v>
      </c>
      <c r="M42" s="16" t="s">
        <v>56</v>
      </c>
      <c r="N42" s="16"/>
      <c r="O42" s="16"/>
    </row>
    <row r="45" spans="1:15" s="16" customFormat="1" x14ac:dyDescent="0.25">
      <c r="A45" s="16" t="s">
        <v>27</v>
      </c>
    </row>
    <row r="46" spans="1:15" x14ac:dyDescent="0.25">
      <c r="B46" t="s">
        <v>55</v>
      </c>
      <c r="C46" s="12">
        <v>1000000</v>
      </c>
      <c r="D46" t="s">
        <v>56</v>
      </c>
    </row>
    <row r="47" spans="1:15" x14ac:dyDescent="0.25">
      <c r="B47" t="s">
        <v>30</v>
      </c>
      <c r="C47">
        <v>1.29</v>
      </c>
    </row>
    <row r="48" spans="1:15" x14ac:dyDescent="0.25">
      <c r="B48" t="s">
        <v>57</v>
      </c>
      <c r="C48">
        <v>-1</v>
      </c>
      <c r="D48" t="s">
        <v>58</v>
      </c>
    </row>
    <row r="49" spans="2:4" x14ac:dyDescent="0.25">
      <c r="B49" t="s">
        <v>59</v>
      </c>
      <c r="C49">
        <v>0</v>
      </c>
      <c r="D49" t="s">
        <v>60</v>
      </c>
    </row>
    <row r="50" spans="2:4" x14ac:dyDescent="0.25">
      <c r="B50" t="s">
        <v>61</v>
      </c>
      <c r="C50">
        <v>1.2749999999999999</v>
      </c>
    </row>
    <row r="51" spans="2:4" x14ac:dyDescent="0.25">
      <c r="B51" t="s">
        <v>1</v>
      </c>
      <c r="C51">
        <v>3.0950000000000001E-3</v>
      </c>
    </row>
    <row r="52" spans="2:4" x14ac:dyDescent="0.25">
      <c r="B52" t="s">
        <v>62</v>
      </c>
      <c r="C52">
        <v>1.83E-3</v>
      </c>
    </row>
    <row r="53" spans="2:4" x14ac:dyDescent="0.25">
      <c r="B53" t="s">
        <v>14</v>
      </c>
      <c r="C53">
        <v>0.25</v>
      </c>
    </row>
    <row r="54" spans="2:4" x14ac:dyDescent="0.25">
      <c r="B54" t="s">
        <v>63</v>
      </c>
      <c r="C54">
        <v>0.08</v>
      </c>
    </row>
    <row r="66" spans="2:3" x14ac:dyDescent="0.25">
      <c r="B66" t="s">
        <v>64</v>
      </c>
      <c r="C66">
        <f ca="1">(C51-C52)/C54-C54/2</f>
        <v>-2.4187500000000001E-2</v>
      </c>
    </row>
    <row r="67" spans="2:3" x14ac:dyDescent="0.25">
      <c r="B67" t="s">
        <v>65</v>
      </c>
      <c r="C67">
        <f ca="1">SQRT(C66*C66+2*(1-C49)*C51)</f>
        <v>8.2310601724504481E-2</v>
      </c>
    </row>
    <row r="68" spans="2:3" x14ac:dyDescent="0.25">
      <c r="B68" t="s">
        <v>66</v>
      </c>
      <c r="C68">
        <f ca="1">1/(C54*SQRT(C53))*(LN(C47/C50)-C54*C67*C53)</f>
        <v>0.25124569321753421</v>
      </c>
    </row>
    <row r="69" spans="2:3" x14ac:dyDescent="0.25">
      <c r="B69" t="s">
        <v>67</v>
      </c>
      <c r="C69">
        <f ca="1">1/(C54*SQRT(C53))*(-LN(C47/C50)-C54*C67*C53)</f>
        <v>-0.33355629494203864</v>
      </c>
    </row>
    <row r="78" spans="2:3" x14ac:dyDescent="0.25">
      <c r="B78" t="s">
        <v>68</v>
      </c>
      <c r="C78" s="20">
        <f ca="1">C46*EXP(-C49*C51*C53)*((C50/C47)^((C66+C67)/C54)*_xlfn.NORM.S.DIST(C48*C68, TRUE) + (C50/C47)^((C66-C67)/C54)*_xlfn.NORM.S.DIST(-C48*C69, TRUE))</f>
        <v>772573.68384826393</v>
      </c>
    </row>
    <row r="81" spans="1:7" s="16" customFormat="1" ht="15.75" thickBot="1" x14ac:dyDescent="0.3">
      <c r="A81" s="16" t="s">
        <v>69</v>
      </c>
    </row>
    <row r="82" spans="1:7" x14ac:dyDescent="0.25">
      <c r="B82" s="1" t="s">
        <v>55</v>
      </c>
      <c r="C82" s="17">
        <v>1000000</v>
      </c>
    </row>
    <row r="83" spans="1:7" x14ac:dyDescent="0.25">
      <c r="B83" s="4" t="s">
        <v>30</v>
      </c>
      <c r="C83" s="6">
        <v>1.29</v>
      </c>
    </row>
    <row r="84" spans="1:7" x14ac:dyDescent="0.25">
      <c r="B84" s="4" t="s">
        <v>57</v>
      </c>
      <c r="C84" s="6">
        <v>1</v>
      </c>
      <c r="D84" t="s">
        <v>112</v>
      </c>
    </row>
    <row r="85" spans="1:7" x14ac:dyDescent="0.25">
      <c r="B85" s="4" t="s">
        <v>59</v>
      </c>
      <c r="C85" s="6">
        <v>1</v>
      </c>
      <c r="F85" t="s">
        <v>70</v>
      </c>
    </row>
    <row r="86" spans="1:7" x14ac:dyDescent="0.25">
      <c r="B86" s="4" t="s">
        <v>61</v>
      </c>
      <c r="C86" s="6">
        <v>1.3</v>
      </c>
      <c r="F86" t="s">
        <v>44</v>
      </c>
    </row>
    <row r="87" spans="1:7" x14ac:dyDescent="0.25">
      <c r="B87" s="4" t="s">
        <v>1</v>
      </c>
      <c r="C87" s="6">
        <v>3.0950000000000001E-3</v>
      </c>
      <c r="F87" t="s">
        <v>71</v>
      </c>
      <c r="G87" s="20">
        <f ca="1">C82*EXP(-C87*C89)-C97</f>
        <v>154944.89048856939</v>
      </c>
    </row>
    <row r="88" spans="1:7" x14ac:dyDescent="0.25">
      <c r="B88" s="4" t="s">
        <v>62</v>
      </c>
      <c r="C88" s="6">
        <v>1.83E-3</v>
      </c>
    </row>
    <row r="89" spans="1:7" x14ac:dyDescent="0.25">
      <c r="B89" s="4" t="s">
        <v>14</v>
      </c>
      <c r="C89" s="6">
        <v>0.25</v>
      </c>
    </row>
    <row r="90" spans="1:7" x14ac:dyDescent="0.25">
      <c r="B90" s="4" t="s">
        <v>63</v>
      </c>
      <c r="C90" s="6">
        <v>0.08</v>
      </c>
    </row>
    <row r="91" spans="1:7" x14ac:dyDescent="0.25">
      <c r="B91" s="4"/>
      <c r="C91" s="6"/>
    </row>
    <row r="92" spans="1:7" x14ac:dyDescent="0.25">
      <c r="B92" s="4" t="s">
        <v>64</v>
      </c>
      <c r="C92" s="6">
        <f ca="1">(C87-C88)/C90-C90/2</f>
        <v>-2.4187500000000001E-2</v>
      </c>
    </row>
    <row r="93" spans="1:7" x14ac:dyDescent="0.25">
      <c r="B93" s="4" t="s">
        <v>65</v>
      </c>
      <c r="C93" s="6">
        <f ca="1">SQRT(C92*C92+2*(1-C85)*C87)</f>
        <v>2.4187500000000001E-2</v>
      </c>
    </row>
    <row r="94" spans="1:7" x14ac:dyDescent="0.25">
      <c r="B94" s="4" t="s">
        <v>66</v>
      </c>
      <c r="C94" s="6">
        <f ca="1">1/(C90*SQRT(C89))*(LN(C83/C86)-C90*C93*C89)</f>
        <v>-0.20514490234775695</v>
      </c>
    </row>
    <row r="95" spans="1:7" x14ac:dyDescent="0.25">
      <c r="B95" s="4" t="s">
        <v>67</v>
      </c>
      <c r="C95" s="6">
        <f ca="1">1/(C90*SQRT(C89))*(-LN(C83/C86)-C90*C93*C89)</f>
        <v>0.18095740234775695</v>
      </c>
    </row>
    <row r="96" spans="1:7" x14ac:dyDescent="0.25">
      <c r="B96" s="4"/>
      <c r="C96" s="6"/>
    </row>
    <row r="97" spans="2:3" ht="15.75" thickBot="1" x14ac:dyDescent="0.3">
      <c r="B97" s="18" t="s">
        <v>68</v>
      </c>
      <c r="C97" s="19">
        <f ca="1">C82*EXP(-C85*C87*C89)*((C86/C83)^((C92+C93)/C90)*_xlfn.NORM.S.DIST(C84*C94, TRUE) + (C86/C83)^((C92-C93)/C90)*_xlfn.NORM.S.DIST(-C84*C95, TRUE))</f>
        <v>844281.65877877083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App1PartA</vt:lpstr>
      <vt:lpstr>App1PartB</vt:lpstr>
      <vt:lpstr>App1PartC</vt:lpstr>
      <vt:lpstr>App1PartDEF</vt:lpstr>
      <vt:lpstr>App2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Gye Hyun Baek</dc:creator>
  <cp:lastModifiedBy>Zengye Wang</cp:lastModifiedBy>
  <dcterms:created xsi:type="dcterms:W3CDTF">2015-12-04T14:54:14Z</dcterms:created>
  <dcterms:modified xsi:type="dcterms:W3CDTF">2015-12-12T01:02:05Z</dcterms:modified>
</cp:coreProperties>
</file>