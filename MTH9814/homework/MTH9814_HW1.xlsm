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0730" windowHeight="11760" tabRatio="715" activeTab="3"/>
  </bookViews>
  <sheets>
    <sheet name="Cover" sheetId="9" r:id="rId1"/>
    <sheet name="Q #1" sheetId="1" r:id="rId2"/>
    <sheet name="Q #2" sheetId="2" r:id="rId3"/>
    <sheet name="Q #3" sheetId="3" r:id="rId4"/>
    <sheet name="Q #4" sheetId="4" r:id="rId5"/>
    <sheet name="Application (i)&amp;(ii)" sheetId="5" r:id="rId6"/>
    <sheet name="Application (iii)" sheetId="6" r:id="rId7"/>
    <sheet name="Application(iv)&amp;(v)" sheetId="7" r:id="rId8"/>
    <sheet name="Application(vi)&amp;(vii)" sheetId="8" r:id="rId9"/>
  </sheets>
  <functionGroups builtInGroupCount="17"/>
  <definedNames>
    <definedName name="beta0">'Application (i)&amp;(ii)'!$F$8</definedName>
    <definedName name="beta1">'Application (i)&amp;(ii)'!$F$9</definedName>
    <definedName name="beta2">'Application (i)&amp;(ii)'!$H$8</definedName>
    <definedName name="lambda">'Application (i)&amp;(ii)'!$H$9</definedName>
    <definedName name="maturities">'Application (iii)'!$G$2:$G$202</definedName>
    <definedName name="maturities_4">'Application(iv)&amp;(v)'!$A$14:$A$73</definedName>
    <definedName name="para">'Application (iii)'!$D$16:$D$19</definedName>
    <definedName name="para2">'Application(iv)&amp;(v)'!$H$3:$H$6</definedName>
    <definedName name="para3">'Application(iv)&amp;(v)'!$I$3:$I$6</definedName>
    <definedName name="para4">'Application(iv)&amp;(v)'!$J$3:$J$6</definedName>
    <definedName name="residual_rates">'Application (iii)'!$B$3:$C$14</definedName>
    <definedName name="solver_adj" localSheetId="5" hidden="1">'Application (i)&amp;(ii)'!$F$8,'Application (i)&amp;(ii)'!$F$9,'Application (i)&amp;(ii)'!$H$8,'Application (i)&amp;(ii)'!$H$9</definedName>
    <definedName name="solver_cvg" localSheetId="5" hidden="1">0.0001</definedName>
    <definedName name="solver_drv" localSheetId="5" hidden="1">2</definedName>
    <definedName name="solver_eng" localSheetId="5" hidden="1">2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2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'Application (i)&amp;(ii)'!$J$21</definedName>
    <definedName name="solver_pre" localSheetId="5" hidden="1">0.000001</definedName>
    <definedName name="solver_rbv" localSheetId="5" hidden="1">2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est_box">'Application (iii)'!$D$20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4" i="7" l="1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14" i="7"/>
  <c r="J14" i="7" a="1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F19" i="8"/>
  <c r="G19" i="8"/>
  <c r="H19" i="8"/>
  <c r="E19" i="8"/>
  <c r="H5" i="7"/>
  <c r="H6" i="7"/>
  <c r="H4" i="7"/>
  <c r="H14" i="7" a="1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F14" i="7" a="1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C14" i="7" a="1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J2" i="6" a="1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I2" i="6" a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H2" i="6" a="1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18" i="8"/>
  <c r="F18" i="8"/>
  <c r="G18" i="8"/>
  <c r="E18" i="8"/>
  <c r="J5" i="7"/>
  <c r="I4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G12" i="7"/>
  <c r="J4" i="7"/>
  <c r="J6" i="7"/>
  <c r="J3" i="7"/>
  <c r="I5" i="7"/>
  <c r="I6" i="7"/>
  <c r="I3" i="7"/>
  <c r="D11" i="7"/>
  <c r="F3" i="7" a="1"/>
  <c r="F4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G11" i="7"/>
  <c r="F3" i="7"/>
  <c r="H3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10" i="7"/>
  <c r="F5" i="7"/>
  <c r="F6" i="7"/>
  <c r="G9" i="7"/>
  <c r="F11" i="5"/>
  <c r="G11" i="5"/>
  <c r="C4" i="6"/>
  <c r="F12" i="5"/>
  <c r="G12" i="5"/>
  <c r="C5" i="6"/>
  <c r="F13" i="5"/>
  <c r="G13" i="5"/>
  <c r="C6" i="6"/>
  <c r="F14" i="5"/>
  <c r="G14" i="5"/>
  <c r="C7" i="6"/>
  <c r="F15" i="5"/>
  <c r="G15" i="5"/>
  <c r="C8" i="6"/>
  <c r="F16" i="5"/>
  <c r="G16" i="5"/>
  <c r="C9" i="6"/>
  <c r="F17" i="5"/>
  <c r="G17" i="5"/>
  <c r="C10" i="6"/>
  <c r="F18" i="5"/>
  <c r="G18" i="5"/>
  <c r="C11" i="6"/>
  <c r="F19" i="5"/>
  <c r="G19" i="5"/>
  <c r="C12" i="6"/>
  <c r="F20" i="5"/>
  <c r="G20" i="5"/>
  <c r="C13" i="6"/>
  <c r="G21" i="5"/>
  <c r="H11" i="5"/>
  <c r="H12" i="5"/>
  <c r="H13" i="5"/>
  <c r="H14" i="5"/>
  <c r="H15" i="5"/>
  <c r="H16" i="5"/>
  <c r="H17" i="5"/>
  <c r="H18" i="5"/>
  <c r="H19" i="5"/>
  <c r="H20" i="5"/>
  <c r="J21" i="5"/>
  <c r="E36" i="4"/>
  <c r="E35" i="4"/>
  <c r="E16" i="4"/>
  <c r="E17" i="4"/>
  <c r="E24" i="4"/>
  <c r="E23" i="4"/>
  <c r="E12" i="4"/>
  <c r="I45" i="3"/>
  <c r="J45" i="3"/>
  <c r="I43" i="3"/>
  <c r="J43" i="3"/>
  <c r="L43" i="3"/>
  <c r="K40" i="3"/>
  <c r="K41" i="3"/>
  <c r="K42" i="3"/>
  <c r="K43" i="3"/>
  <c r="K44" i="3"/>
  <c r="K45" i="3"/>
  <c r="K46" i="3"/>
  <c r="I39" i="3"/>
  <c r="K39" i="3"/>
  <c r="F46" i="3"/>
  <c r="F44" i="3"/>
  <c r="D45" i="3"/>
  <c r="F45" i="3"/>
  <c r="E45" i="3"/>
  <c r="F42" i="3"/>
  <c r="D43" i="3"/>
  <c r="F43" i="3"/>
  <c r="E43" i="3"/>
  <c r="G43" i="3"/>
  <c r="F41" i="3"/>
  <c r="F40" i="3"/>
  <c r="D39" i="3"/>
  <c r="F39" i="3"/>
  <c r="D30" i="3"/>
  <c r="E30" i="3"/>
  <c r="D28" i="3"/>
  <c r="D24" i="3"/>
  <c r="F15" i="3"/>
  <c r="F13" i="3"/>
  <c r="D14" i="3"/>
  <c r="F14" i="3"/>
  <c r="E14" i="3"/>
  <c r="F11" i="3"/>
  <c r="F12" i="3"/>
  <c r="F16" i="3"/>
  <c r="D10" i="3"/>
  <c r="F10" i="3"/>
  <c r="C47" i="2"/>
  <c r="E47" i="2"/>
  <c r="C48" i="2"/>
  <c r="E48" i="2"/>
  <c r="C49" i="2"/>
  <c r="E49" i="2"/>
  <c r="C50" i="2"/>
  <c r="E50" i="2"/>
  <c r="C51" i="2"/>
  <c r="E51" i="2"/>
  <c r="C52" i="2"/>
  <c r="E52" i="2"/>
  <c r="C53" i="2"/>
  <c r="E53" i="2"/>
  <c r="C54" i="2"/>
  <c r="E54" i="2"/>
  <c r="C55" i="2"/>
  <c r="E55" i="2"/>
  <c r="C56" i="2"/>
  <c r="E56" i="2"/>
  <c r="C57" i="2"/>
  <c r="E57" i="2"/>
  <c r="C58" i="2"/>
  <c r="E58" i="2"/>
  <c r="C59" i="2"/>
  <c r="E59" i="2"/>
  <c r="E60" i="2"/>
  <c r="E46" i="2"/>
  <c r="C38" i="2"/>
  <c r="C37" i="2"/>
  <c r="C36" i="2"/>
  <c r="C35" i="2"/>
  <c r="C34" i="2"/>
  <c r="C33" i="2"/>
  <c r="C32" i="2"/>
  <c r="C31" i="2"/>
  <c r="C30" i="2"/>
  <c r="C29" i="2"/>
  <c r="C28" i="2"/>
  <c r="D15" i="2"/>
  <c r="D13" i="2"/>
  <c r="E30" i="2"/>
  <c r="E29" i="2"/>
  <c r="E31" i="2"/>
  <c r="E32" i="2"/>
  <c r="E33" i="2"/>
  <c r="E34" i="2"/>
  <c r="E35" i="2"/>
  <c r="E36" i="2"/>
  <c r="E37" i="2"/>
  <c r="E38" i="2"/>
  <c r="E28" i="2"/>
  <c r="D8" i="2"/>
  <c r="F8" i="2"/>
  <c r="D9" i="2"/>
  <c r="F9" i="2"/>
  <c r="D10" i="2"/>
  <c r="F10" i="2"/>
  <c r="D11" i="2"/>
  <c r="F11" i="2"/>
  <c r="D12" i="2"/>
  <c r="F12" i="2"/>
  <c r="F13" i="2"/>
  <c r="D14" i="2"/>
  <c r="F14" i="2"/>
  <c r="F15" i="2"/>
  <c r="D16" i="2"/>
  <c r="F16" i="2"/>
  <c r="D17" i="2"/>
  <c r="F17" i="2"/>
  <c r="D18" i="2"/>
  <c r="F18" i="2"/>
  <c r="D19" i="2"/>
  <c r="F19" i="2"/>
  <c r="D20" i="2"/>
  <c r="F20" i="2"/>
  <c r="F21" i="2"/>
  <c r="F7" i="2"/>
  <c r="E29" i="1"/>
  <c r="C30" i="1"/>
  <c r="F29" i="1"/>
  <c r="G29" i="1"/>
  <c r="C31" i="1"/>
  <c r="E30" i="1"/>
  <c r="F30" i="1"/>
  <c r="G30" i="1"/>
  <c r="C32" i="1"/>
  <c r="E31" i="1"/>
  <c r="F31" i="1"/>
  <c r="G31" i="1"/>
  <c r="C33" i="1"/>
  <c r="E32" i="1"/>
  <c r="F32" i="1"/>
  <c r="G32" i="1"/>
  <c r="C34" i="1"/>
  <c r="E33" i="1"/>
  <c r="F33" i="1"/>
  <c r="G33" i="1"/>
  <c r="C35" i="1"/>
  <c r="E34" i="1"/>
  <c r="F34" i="1"/>
  <c r="G34" i="1"/>
  <c r="G37" i="1"/>
  <c r="D10" i="1"/>
  <c r="D22" i="1"/>
  <c r="D21" i="1"/>
  <c r="D20" i="1"/>
  <c r="F20" i="1"/>
  <c r="F21" i="1"/>
  <c r="D23" i="1"/>
  <c r="F22" i="1"/>
  <c r="D24" i="1"/>
  <c r="F23" i="1"/>
  <c r="D19" i="1"/>
  <c r="F19" i="1"/>
  <c r="F10" i="1"/>
  <c r="D7" i="1"/>
  <c r="D8" i="1"/>
  <c r="F8" i="1"/>
  <c r="D9" i="1"/>
  <c r="F9" i="1"/>
  <c r="D11" i="1"/>
  <c r="F11" i="1"/>
  <c r="D12" i="1"/>
  <c r="F12" i="1"/>
  <c r="F7" i="1"/>
</calcChain>
</file>

<file path=xl/connections.xml><?xml version="1.0" encoding="utf-8"?>
<connections xmlns="http://schemas.openxmlformats.org/spreadsheetml/2006/main">
  <connection id="1" name="11" type="6" refreshedVersion="4" background="1" saveData="1">
    <textPr codePage="437" sourceFile="C:\Users\Zengye\Desktop\1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<sst xmlns="http://schemas.openxmlformats.org/spreadsheetml/2006/main" count="241" uniqueCount="158">
  <si>
    <t>Part a)</t>
  </si>
  <si>
    <t xml:space="preserve">Maturity </t>
  </si>
  <si>
    <t>Bond Price</t>
  </si>
  <si>
    <t>Zero Rate</t>
  </si>
  <si>
    <t>1D</t>
  </si>
  <si>
    <t>1W</t>
  </si>
  <si>
    <t>1M</t>
  </si>
  <si>
    <t>3M</t>
  </si>
  <si>
    <t>6M</t>
  </si>
  <si>
    <t>1Y</t>
  </si>
  <si>
    <t>r(0,t) = -ln(Bond Price/100)/t</t>
  </si>
  <si>
    <t>t (in years)</t>
  </si>
  <si>
    <t>Part b)</t>
  </si>
  <si>
    <t>Forward Rate</t>
  </si>
  <si>
    <t>Part c)</t>
  </si>
  <si>
    <t>t1</t>
  </si>
  <si>
    <t>t2</t>
  </si>
  <si>
    <t>t3</t>
  </si>
  <si>
    <t>t4</t>
  </si>
  <si>
    <t>t5</t>
  </si>
  <si>
    <t>t6</t>
  </si>
  <si>
    <t>r(ti,tj) =( tj*r(0,tj)-ti*r(0,ti)) / (tj-ti), where tj &gt;ti</t>
  </si>
  <si>
    <t>What is the term structure of discount factors implied by these fixings?</t>
  </si>
  <si>
    <t>Time</t>
  </si>
  <si>
    <t>0/n</t>
  </si>
  <si>
    <t>Question 1</t>
  </si>
  <si>
    <t>Question 2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</si>
  <si>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</si>
  <si>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</si>
  <si>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</si>
  <si>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</si>
  <si>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</si>
  <si>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</si>
  <si>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</si>
  <si>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</si>
  <si>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</si>
  <si>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</si>
  <si>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Time (in years)</t>
  </si>
  <si>
    <t>LIBOR Rate (%)</t>
  </si>
  <si>
    <t>Discount Factor = 1/(1+LIBOR/100*Time)</t>
  </si>
  <si>
    <t>Discount Factor</t>
  </si>
  <si>
    <t>LIBOR Rate for Monthly Compounding = ((1+LIBOR/100*t)^(1/(12*t)-1)*12</t>
  </si>
  <si>
    <t>LIBOR Monthly Compounding (%)</t>
  </si>
  <si>
    <t>Question 3</t>
  </si>
  <si>
    <t>Using linear interpolation in the continously compound spot rates, determine the discount factor at 4 months</t>
  </si>
  <si>
    <t>Maturity</t>
  </si>
  <si>
    <t>Spot Rate</t>
  </si>
  <si>
    <t>Spot Rate, r = -ln(Pt)/t</t>
  </si>
  <si>
    <t>We can use spot rates at t=0.25 and t=0.5 to interpolate the spot rate at t = 4 months (t=0.333333)</t>
  </si>
  <si>
    <t>So spot rate at t=4M is (r(6M)-r(3M))/(t(6M)-t(3M))*(t(4M)-t(3M))+r(3M)</t>
  </si>
  <si>
    <t>Then we can derive the discount factor from the spot rate by Pt = exp(-rt)</t>
  </si>
  <si>
    <t>Using the assumption of piecewise constant forward rates, determine the discount factor at 10 months</t>
  </si>
  <si>
    <t>What is the term structure of risk-free zero rates implied by these bond prices, expressed with continous compounding?</t>
  </si>
  <si>
    <t>What is the term structure of single-peiod forward rates (i.e., the forwards between adjacent maturities), also expressed with continous compounding?</t>
  </si>
  <si>
    <t>Verify that the 1Y zero rate is the time-weighted average of the single-period forward rates you calculated.</t>
  </si>
  <si>
    <t>Time-Weighted Average of 1Y Zero Rate = sum of all Forward Rate*Weight =</t>
  </si>
  <si>
    <t>Weight (Time)</t>
  </si>
  <si>
    <t>What are the one-month forward rates, expressed as rates of simple interest, for months 1-11 implied by these fixings?</t>
  </si>
  <si>
    <t>What is the term structure of interest rates implied by these fixings, with all rates expressed with monthly compounding?</t>
  </si>
  <si>
    <t>We can use discount factors at t=6M and t=1Y to calculate the discount factor at t = 10 months (t=0.833333)</t>
  </si>
  <si>
    <t>So, P(10M) = exp(lnP(6M)+(lnP(1Y)-lnP(6M))/(t(1Y)-t(6M))*(t(10M)-t(6M)))</t>
  </si>
  <si>
    <t>Under each of the interpolation methods used above, what is the six-month forward rate in four month, express with continuous compounding?</t>
  </si>
  <si>
    <t>Linear Interpolation Method</t>
  </si>
  <si>
    <t>The 6-month forward rate at t=4M can be computed by -1/(t(10M)-t(4M))*(lnP(10M)-lnP(4M)))</t>
  </si>
  <si>
    <t>Constant Forward Rate Interpolatio Method</t>
  </si>
  <si>
    <t>Question 4</t>
  </si>
  <si>
    <t>Under each of the following interpolation methods, determine the instantaneous forward rate at 1 year (with</t>
  </si>
  <si>
    <t>the limit taken from the right) and 3 years (with the limit taken from the left).</t>
  </si>
  <si>
    <t>Constant forward rate</t>
  </si>
  <si>
    <t>3Y</t>
  </si>
  <si>
    <t>The risk-free zero rate to the maturity 1 year is 1.25%. The risk-free zero rate to the maturity 3 years is 1.6%.</t>
  </si>
  <si>
    <t>Forward Rate = (r2*t2-r1*t1)/(t2-t1) =</t>
  </si>
  <si>
    <t xml:space="preserve">Part b) </t>
  </si>
  <si>
    <t>Linear Zero Rate</t>
  </si>
  <si>
    <t>Note that the instantaneous forward rates are linear but with the restriction that the slope of the forward curve is equal to</t>
  </si>
  <si>
    <t>same for 1Y and 3Y</t>
  </si>
  <si>
    <t>r(t) = a*t + b, where a = (r2 - r1)/(t2-t1) =</t>
  </si>
  <si>
    <t>b = r(1) - a =</t>
  </si>
  <si>
    <t>So, Instantaneous Forward Rate = 2*a*t+b</t>
  </si>
  <si>
    <t>Instantaneous Forward Rate</t>
  </si>
  <si>
    <t>Cubic spline in the zero rates, where the maturites at 1 and 3 years are connected by a segment with the equation:</t>
  </si>
  <si>
    <t>r(t) = -0.001138889t^3 + 0.001638889t^2 + 0.01t + 0.002</t>
  </si>
  <si>
    <t>a</t>
  </si>
  <si>
    <t>b</t>
  </si>
  <si>
    <t>c</t>
  </si>
  <si>
    <t>d</t>
  </si>
  <si>
    <t>Forward Rate = ((1+rt(i+1))/(1+rt(i))-1)/(1/12)</t>
  </si>
  <si>
    <t xml:space="preserve"> </t>
  </si>
  <si>
    <t>twice the difference between the average forward rate and the zero rate at the beginning divided by the time to the end of the period.</t>
  </si>
  <si>
    <t>(i)</t>
  </si>
  <si>
    <t>It suggests that we can solve β0 and β1 by setting t to 0 and infinity</t>
  </si>
  <si>
    <t>(ii)</t>
  </si>
  <si>
    <t>timeName</t>
  </si>
  <si>
    <t>t</t>
  </si>
  <si>
    <t>r(t) (continuous)</t>
  </si>
  <si>
    <t>2Y</t>
  </si>
  <si>
    <t>5Y</t>
  </si>
  <si>
    <t>7Y</t>
  </si>
  <si>
    <t>10Y</t>
  </si>
  <si>
    <t>20Y</t>
  </si>
  <si>
    <t>30Y</t>
  </si>
  <si>
    <t>β0:</t>
  </si>
  <si>
    <t>β1:</t>
  </si>
  <si>
    <t>β2:</t>
  </si>
  <si>
    <t>λ:</t>
  </si>
  <si>
    <t>r-NS</t>
  </si>
  <si>
    <t>(iii)</t>
  </si>
  <si>
    <t>Maturities</t>
  </si>
  <si>
    <t>residual rate</t>
  </si>
  <si>
    <t>residual rate squared</t>
  </si>
  <si>
    <t>sum of residual rate squared:</t>
  </si>
  <si>
    <t xml:space="preserve">Using the least square method, we use solver to minimize the sum of residual rate squared, and found the parameters as above. </t>
  </si>
  <si>
    <t>term structure of residual curve</t>
  </si>
  <si>
    <t>redisual</t>
  </si>
  <si>
    <t>r_NS</t>
  </si>
  <si>
    <t>present value</t>
  </si>
  <si>
    <t>present value of each cash flow</t>
  </si>
  <si>
    <t>cash flow</t>
  </si>
  <si>
    <t>by formula:</t>
  </si>
  <si>
    <t>we get the present value of each cash flow</t>
  </si>
  <si>
    <t>(iv)</t>
  </si>
  <si>
    <t>(v)</t>
  </si>
  <si>
    <t>parameter 1</t>
  </si>
  <si>
    <t>NPV</t>
  </si>
  <si>
    <t>NPV:</t>
  </si>
  <si>
    <t>original NPV</t>
  </si>
  <si>
    <t>decrease β0</t>
  </si>
  <si>
    <t>increase β2</t>
  </si>
  <si>
    <t>(vi)</t>
  </si>
  <si>
    <t>increase β1</t>
  </si>
  <si>
    <t>parameter 2</t>
  </si>
  <si>
    <t>parameter 3</t>
  </si>
  <si>
    <t>parameter 4</t>
  </si>
  <si>
    <t>zero rate 2</t>
  </si>
  <si>
    <t>zero rate 3</t>
  </si>
  <si>
    <t>zero rate 4</t>
  </si>
  <si>
    <t>zero rate 1</t>
  </si>
  <si>
    <t>β0 can influence the parallel shift of the curve;</t>
  </si>
  <si>
    <t>the higher β1 is, the steeper the curve is;</t>
  </si>
  <si>
    <t>by several expriments, we found:</t>
  </si>
  <si>
    <t>(vii)</t>
  </si>
  <si>
    <t>instantaneous forward rate</t>
  </si>
  <si>
    <t>t+delta_t</t>
  </si>
  <si>
    <t>the higher β2 is, the bigger the curvature is;</t>
  </si>
  <si>
    <t>zero rate (with residual)</t>
  </si>
  <si>
    <t>Below is an example of the functional form of the instantaneous forward rates (I understand the "functional form" term as an excel function):</t>
  </si>
  <si>
    <t>The funtional form:</t>
  </si>
  <si>
    <t>Approximate by setting delta-t as 0.001</t>
  </si>
  <si>
    <t>MTH 9814 Financial instruments HW1</t>
  </si>
  <si>
    <t>Group 8</t>
  </si>
  <si>
    <t>Baek,Gye Hyun</t>
  </si>
  <si>
    <t>Wang,Yicen</t>
  </si>
  <si>
    <t>Yahiaoui,Samir</t>
  </si>
  <si>
    <t>Zhou,Shengquan</t>
  </si>
  <si>
    <t>Wang, Zengye</t>
  </si>
  <si>
    <t xml:space="preserve">Please pay attention: </t>
  </si>
  <si>
    <t>Wang, Zengye is also a member of our group, he was assigned to our group later than Dan's original post.</t>
  </si>
  <si>
    <t>Dan updated the teams after his first post.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</si>
</sst>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"/>
    <numFmt numFmtId="166" formatCode="0.000000000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indexed="8"/>
      <name val="Calibri"/>
      <family val="2"/>
    </font>
    <font>
      <sz val="14"/>
      <color theme="1"/>
      <name val="Calibri"/>
      <family val="2"/>
    </font>
    <font>
      <b/>
      <sz val="14"/>
      <color indexed="8"/>
      <name val="Calibri"/>
      <family val="2"/>
    </font>
    <font>
      <b/>
      <sz val="14"/>
      <color theme="1"/>
      <name val="Calibri"/>
      <family val="2"/>
    </font>
    <font>
      <b/>
      <i/>
      <sz val="14"/>
      <color theme="1"/>
      <name val="Calibri"/>
      <family val="2"/>
    </font>
    <font>
      <sz val="11"/>
      <color rgb="FF000000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8">
    <xf numFmtId="0" fontId="0" fillId="0" borderId="0" xfId="0"/>
    <xf numFmtId="0" fontId="5" fillId="0" borderId="0" xfId="0" applyFont="1"/>
    <xf numFmtId="0" fontId="6" fillId="0" borderId="0" xfId="0" applyFont="1"/>
    <xf numFmtId="0" fontId="6" fillId="2" borderId="0" xfId="0" applyFont="1" applyFill="1"/>
    <xf numFmtId="0" fontId="5" fillId="2" borderId="0" xfId="0" applyFont="1" applyFill="1"/>
    <xf numFmtId="0" fontId="6" fillId="0" borderId="2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 wrapText="1"/>
    </xf>
    <xf numFmtId="0" fontId="5" fillId="0" borderId="4" xfId="0" applyFont="1" applyFill="1" applyBorder="1" applyAlignment="1">
      <alignment horizontal="center"/>
    </xf>
    <xf numFmtId="165" fontId="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166" fontId="5" fillId="2" borderId="5" xfId="0" applyNumberFormat="1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165" fontId="8" fillId="0" borderId="9" xfId="0" applyNumberFormat="1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166" fontId="5" fillId="2" borderId="7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6" fillId="0" borderId="3" xfId="0" applyFont="1" applyBorder="1"/>
    <xf numFmtId="165" fontId="8" fillId="0" borderId="4" xfId="0" applyNumberFormat="1" applyFont="1" applyFill="1" applyBorder="1" applyAlignment="1">
      <alignment horizontal="center"/>
    </xf>
    <xf numFmtId="165" fontId="8" fillId="0" borderId="6" xfId="0" applyNumberFormat="1" applyFont="1" applyFill="1" applyBorder="1" applyAlignment="1">
      <alignment horizontal="center"/>
    </xf>
    <xf numFmtId="0" fontId="5" fillId="0" borderId="7" xfId="0" applyFont="1" applyBorder="1"/>
    <xf numFmtId="0" fontId="7" fillId="0" borderId="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wrapText="1"/>
    </xf>
    <xf numFmtId="0" fontId="6" fillId="0" borderId="0" xfId="0" applyFont="1" applyAlignment="1">
      <alignment wrapText="1"/>
    </xf>
    <xf numFmtId="166" fontId="5" fillId="2" borderId="5" xfId="0" applyNumberFormat="1" applyFont="1" applyFill="1" applyBorder="1" applyAlignment="1">
      <alignment horizontal="center" wrapText="1"/>
    </xf>
    <xf numFmtId="0" fontId="5" fillId="0" borderId="0" xfId="0" applyFont="1" applyAlignment="1"/>
    <xf numFmtId="166" fontId="5" fillId="2" borderId="7" xfId="0" applyNumberFormat="1" applyFont="1" applyFill="1" applyBorder="1" applyAlignment="1">
      <alignment horizontal="center" wrapText="1"/>
    </xf>
    <xf numFmtId="0" fontId="5" fillId="0" borderId="0" xfId="0" applyFont="1" applyBorder="1"/>
    <xf numFmtId="0" fontId="6" fillId="4" borderId="0" xfId="0" applyFont="1" applyFill="1"/>
    <xf numFmtId="0" fontId="5" fillId="4" borderId="0" xfId="0" applyFont="1" applyFill="1"/>
    <xf numFmtId="0" fontId="6" fillId="4" borderId="0" xfId="0" applyFont="1" applyFill="1" applyBorder="1" applyAlignment="1"/>
    <xf numFmtId="0" fontId="6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5" fillId="2" borderId="5" xfId="0" applyNumberFormat="1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164" fontId="5" fillId="2" borderId="7" xfId="0" applyNumberFormat="1" applyFont="1" applyFill="1" applyBorder="1" applyAlignment="1">
      <alignment horizontal="center"/>
    </xf>
    <xf numFmtId="165" fontId="5" fillId="0" borderId="4" xfId="0" applyNumberFormat="1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5" fontId="5" fillId="0" borderId="0" xfId="0" applyNumberFormat="1" applyFont="1"/>
    <xf numFmtId="165" fontId="5" fillId="0" borderId="6" xfId="0" applyNumberFormat="1" applyFont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5" fillId="0" borderId="0" xfId="0" applyNumberFormat="1" applyFont="1"/>
    <xf numFmtId="164" fontId="5" fillId="0" borderId="1" xfId="0" applyNumberFormat="1" applyFont="1" applyFill="1" applyBorder="1" applyAlignment="1">
      <alignment horizontal="center"/>
    </xf>
    <xf numFmtId="164" fontId="5" fillId="0" borderId="9" xfId="0" applyNumberFormat="1" applyFont="1" applyFill="1" applyBorder="1" applyAlignment="1">
      <alignment horizontal="center"/>
    </xf>
    <xf numFmtId="165" fontId="5" fillId="0" borderId="7" xfId="0" applyNumberFormat="1" applyFont="1" applyBorder="1"/>
    <xf numFmtId="0" fontId="0" fillId="4" borderId="0" xfId="0" applyFill="1"/>
    <xf numFmtId="0" fontId="6" fillId="0" borderId="3" xfId="0" applyFont="1" applyFill="1" applyBorder="1" applyAlignment="1">
      <alignment horizontal="center"/>
    </xf>
    <xf numFmtId="0" fontId="4" fillId="3" borderId="0" xfId="0" applyFont="1" applyFill="1"/>
    <xf numFmtId="0" fontId="0" fillId="3" borderId="0" xfId="0" applyFill="1"/>
    <xf numFmtId="164" fontId="9" fillId="0" borderId="4" xfId="0" applyNumberFormat="1" applyFont="1" applyBorder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right"/>
    </xf>
    <xf numFmtId="164" fontId="10" fillId="0" borderId="4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16" fontId="10" fillId="0" borderId="0" xfId="0" applyNumberFormat="1" applyFont="1" applyAlignment="1">
      <alignment horizontal="right"/>
    </xf>
    <xf numFmtId="164" fontId="10" fillId="0" borderId="6" xfId="0" applyNumberFormat="1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9" fillId="2" borderId="1" xfId="0" applyFont="1" applyFill="1" applyBorder="1" applyAlignment="1">
      <alignment horizontal="left"/>
    </xf>
    <xf numFmtId="0" fontId="11" fillId="0" borderId="2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 wrapText="1"/>
    </xf>
    <xf numFmtId="0" fontId="12" fillId="0" borderId="0" xfId="0" applyFont="1"/>
    <xf numFmtId="0" fontId="12" fillId="2" borderId="0" xfId="0" applyFont="1" applyFill="1"/>
    <xf numFmtId="0" fontId="12" fillId="0" borderId="0" xfId="0" applyFont="1" applyFill="1"/>
    <xf numFmtId="0" fontId="12" fillId="4" borderId="0" xfId="0" applyFont="1" applyFill="1"/>
    <xf numFmtId="0" fontId="5" fillId="0" borderId="0" xfId="0" applyFont="1" applyAlignment="1">
      <alignment horizontal="right"/>
    </xf>
    <xf numFmtId="164" fontId="5" fillId="0" borderId="7" xfId="0" applyNumberFormat="1" applyFont="1" applyFill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164" fontId="6" fillId="2" borderId="0" xfId="0" applyNumberFormat="1" applyFont="1" applyFill="1" applyAlignment="1">
      <alignment horizontal="right"/>
    </xf>
    <xf numFmtId="0" fontId="5" fillId="0" borderId="0" xfId="0" applyFont="1" applyFill="1"/>
    <xf numFmtId="0" fontId="10" fillId="4" borderId="0" xfId="0" applyFont="1" applyFill="1"/>
    <xf numFmtId="0" fontId="10" fillId="2" borderId="0" xfId="0" applyFont="1" applyFill="1"/>
    <xf numFmtId="0" fontId="12" fillId="0" borderId="3" xfId="0" applyFont="1" applyBorder="1" applyAlignment="1">
      <alignment horizontal="center" vertical="center"/>
    </xf>
    <xf numFmtId="0" fontId="10" fillId="0" borderId="5" xfId="0" applyFont="1" applyBorder="1"/>
    <xf numFmtId="0" fontId="10" fillId="0" borderId="7" xfId="0" applyFont="1" applyBorder="1"/>
    <xf numFmtId="0" fontId="9" fillId="0" borderId="1" xfId="0" applyFont="1" applyFill="1" applyBorder="1" applyAlignment="1">
      <alignment horizontal="left"/>
    </xf>
    <xf numFmtId="164" fontId="10" fillId="0" borderId="11" xfId="0" applyNumberFormat="1" applyFont="1" applyBorder="1" applyAlignment="1">
      <alignment horizontal="left"/>
    </xf>
    <xf numFmtId="0" fontId="10" fillId="2" borderId="12" xfId="0" applyFont="1" applyFill="1" applyBorder="1" applyAlignment="1">
      <alignment horizontal="left"/>
    </xf>
    <xf numFmtId="0" fontId="10" fillId="0" borderId="0" xfId="0" applyFont="1" applyBorder="1"/>
    <xf numFmtId="0" fontId="10" fillId="0" borderId="0" xfId="0" applyFont="1" applyFill="1"/>
    <xf numFmtId="0" fontId="0" fillId="0" borderId="0" xfId="0" applyFill="1"/>
    <xf numFmtId="0" fontId="12" fillId="0" borderId="8" xfId="0" applyFont="1" applyBorder="1" applyAlignment="1">
      <alignment horizontal="center" vertical="center"/>
    </xf>
    <xf numFmtId="164" fontId="10" fillId="2" borderId="5" xfId="0" applyNumberFormat="1" applyFont="1" applyFill="1" applyBorder="1" applyAlignment="1">
      <alignment horizontal="center"/>
    </xf>
    <xf numFmtId="164" fontId="10" fillId="0" borderId="4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164" fontId="10" fillId="0" borderId="6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0" fontId="11" fillId="0" borderId="3" xfId="0" applyFont="1" applyFill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right"/>
    </xf>
    <xf numFmtId="0" fontId="12" fillId="2" borderId="0" xfId="0" applyFont="1" applyFill="1" applyAlignment="1">
      <alignment horizontal="center"/>
    </xf>
    <xf numFmtId="0" fontId="12" fillId="0" borderId="0" xfId="0" applyFont="1" applyFill="1" applyAlignment="1">
      <alignment horizontal="left"/>
    </xf>
    <xf numFmtId="0" fontId="10" fillId="2" borderId="5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49" fontId="10" fillId="0" borderId="0" xfId="0" applyNumberFormat="1" applyFont="1"/>
    <xf numFmtId="0" fontId="1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2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1" xfId="0" applyBorder="1"/>
    <xf numFmtId="0" fontId="0" fillId="0" borderId="1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10" xfId="0" applyFont="1" applyBorder="1" applyAlignment="1">
      <alignment horizontal="center"/>
    </xf>
  </cellXfs>
  <cellStyles count="1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'Application (iii)'!$H$1</c:f>
              <c:strCache>
                <c:ptCount val="1"/>
                <c:pt idx="0">
                  <c:v>r_NS</c:v>
                </c:pt>
              </c:strCache>
            </c:strRef>
          </c:tx>
          <c:marker>
            <c:symbol val="none"/>
          </c:marker>
          <c:xVal>
            <c:numRef>
              <c:f>'Application (iii)'!$G$2:$G$202</c:f>
              <c:numCache>
                <c:formatCode>General</c:formatCode>
                <c:ptCount val="2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</c:numCache>
            </c:numRef>
          </c:xVal>
          <c:yVal>
            <c:numRef>
              <c:f>'Application (iii)'!$H$2:$H$202</c:f>
              <c:numCache>
                <c:formatCode>General</c:formatCode>
                <c:ptCount val="201"/>
                <c:pt idx="0">
                  <c:v>-1.8532798490497326E-3</c:v>
                </c:pt>
                <c:pt idx="1">
                  <c:v>-2.3005582333906309E-3</c:v>
                </c:pt>
                <c:pt idx="2">
                  <c:v>-2.6110554429927394E-3</c:v>
                </c:pt>
                <c:pt idx="3">
                  <c:v>-2.8033556828071186E-3</c:v>
                </c:pt>
                <c:pt idx="4">
                  <c:v>-2.8938674152069899E-3</c:v>
                </c:pt>
                <c:pt idx="5">
                  <c:v>-2.8970639782996046E-3</c:v>
                </c:pt>
                <c:pt idx="6">
                  <c:v>-2.8256983336602654E-3</c:v>
                </c:pt>
                <c:pt idx="7">
                  <c:v>-2.6909946806289481E-3</c:v>
                </c:pt>
                <c:pt idx="8">
                  <c:v>-2.5028193876178249E-3</c:v>
                </c:pt>
                <c:pt idx="9">
                  <c:v>-2.2698334340143836E-3</c:v>
                </c:pt>
                <c:pt idx="10">
                  <c:v>-1.9996283261379411E-3</c:v>
                </c:pt>
                <c:pt idx="11">
                  <c:v>-1.6988472445505767E-3</c:v>
                </c:pt>
                <c:pt idx="12">
                  <c:v>-1.3732929953507373E-3</c:v>
                </c:pt>
                <c:pt idx="13">
                  <c:v>-1.0280241726624098E-3</c:v>
                </c:pt>
                <c:pt idx="14">
                  <c:v>-6.6744079137745808E-4</c:v>
                </c:pt>
                <c:pt idx="15">
                  <c:v>-2.9536051652218466E-4</c:v>
                </c:pt>
                <c:pt idx="16">
                  <c:v>8.4913503204224429E-5</c:v>
                </c:pt>
                <c:pt idx="17">
                  <c:v>4.7053229657210646E-4</c:v>
                </c:pt>
                <c:pt idx="18">
                  <c:v>8.5904741976532107E-4</c:v>
                </c:pt>
                <c:pt idx="19">
                  <c:v>1.2483632745409791E-3</c:v>
                </c:pt>
                <c:pt idx="20">
                  <c:v>1.6366947503750119E-3</c:v>
                </c:pt>
                <c:pt idx="21">
                  <c:v>2.0225296147127181E-3</c:v>
                </c:pt>
                <c:pt idx="22">
                  <c:v>2.4045951366190631E-3</c:v>
                </c:pt>
                <c:pt idx="23">
                  <c:v>2.7818284838735021E-3</c:v>
                </c:pt>
                <c:pt idx="24">
                  <c:v>3.1533504825478099E-3</c:v>
                </c:pt>
                <c:pt idx="25">
                  <c:v>3.5184423719440421E-3</c:v>
                </c:pt>
                <c:pt idx="26">
                  <c:v>3.8765252269906823E-3</c:v>
                </c:pt>
                <c:pt idx="27">
                  <c:v>4.2271417552812085E-3</c:v>
                </c:pt>
                <c:pt idx="28">
                  <c:v>4.5699402073224142E-3</c:v>
                </c:pt>
                <c:pt idx="29">
                  <c:v>4.904660166627545E-3</c:v>
                </c:pt>
                <c:pt idx="30">
                  <c:v>5.2311200113884185E-3</c:v>
                </c:pt>
                <c:pt idx="31">
                  <c:v>5.5492058619022438E-3</c:v>
                </c:pt>
                <c:pt idx="32">
                  <c:v>5.8588618479914695E-3</c:v>
                </c:pt>
                <c:pt idx="33">
                  <c:v>6.1600815485881024E-3</c:v>
                </c:pt>
                <c:pt idx="34">
                  <c:v>6.4529004716813079E-3</c:v>
                </c:pt>
                <c:pt idx="35">
                  <c:v>6.7373894571488863E-3</c:v>
                </c:pt>
                <c:pt idx="36">
                  <c:v>7.0136488977887781E-3</c:v>
                </c:pt>
                <c:pt idx="37">
                  <c:v>7.2818036852969423E-3</c:v>
                </c:pt>
                <c:pt idx="38">
                  <c:v>7.5419987981463679E-3</c:v>
                </c:pt>
                <c:pt idx="39">
                  <c:v>7.7943954574377838E-3</c:v>
                </c:pt>
                <c:pt idx="40">
                  <c:v>8.0391677849309534E-3</c:v>
                </c:pt>
                <c:pt idx="41">
                  <c:v>8.2764999047297196E-3</c:v>
                </c:pt>
                <c:pt idx="42">
                  <c:v>8.5065834365766896E-3</c:v>
                </c:pt>
                <c:pt idx="43">
                  <c:v>8.7296153344973444E-3</c:v>
                </c:pt>
                <c:pt idx="44">
                  <c:v>8.9457960296925512E-3</c:v>
                </c:pt>
                <c:pt idx="45">
                  <c:v>9.1553278411794121E-3</c:v>
                </c:pt>
                <c:pt idx="46">
                  <c:v>9.3584136217822241E-3</c:v>
                </c:pt>
                <c:pt idx="47">
                  <c:v>9.5552556107314102E-3</c:v>
                </c:pt>
                <c:pt idx="48">
                  <c:v>9.7460544673860332E-3</c:v>
                </c:pt>
                <c:pt idx="49">
                  <c:v>9.9310084634974052E-3</c:v>
                </c:pt>
                <c:pt idx="50">
                  <c:v>1.0110312814015565E-2</c:v>
                </c:pt>
                <c:pt idx="51">
                  <c:v>1.0284159128740806E-2</c:v>
                </c:pt>
                <c:pt idx="52">
                  <c:v>1.0452734969169729E-2</c:v>
                </c:pt>
                <c:pt idx="53">
                  <c:v>1.0616223496706332E-2</c:v>
                </c:pt>
                <c:pt idx="54">
                  <c:v>1.0774803200028125E-2</c:v>
                </c:pt>
                <c:pt idx="55">
                  <c:v>1.0928647690836664E-2</c:v>
                </c:pt>
                <c:pt idx="56">
                  <c:v>1.107792555850076E-2</c:v>
                </c:pt>
                <c:pt idx="57">
                  <c:v>1.1222800275236443E-2</c:v>
                </c:pt>
                <c:pt idx="58">
                  <c:v>1.1363430144475817E-2</c:v>
                </c:pt>
                <c:pt idx="59">
                  <c:v>1.1499968285971409E-2</c:v>
                </c:pt>
                <c:pt idx="60">
                  <c:v>1.1632562651975584E-2</c:v>
                </c:pt>
                <c:pt idx="61">
                  <c:v>1.1761356069537481E-2</c:v>
                </c:pt>
                <c:pt idx="62">
                  <c:v>1.1886486304582252E-2</c:v>
                </c:pt>
                <c:pt idx="63">
                  <c:v>1.2008086143988246E-2</c:v>
                </c:pt>
                <c:pt idx="64">
                  <c:v>1.2126283492364992E-2</c:v>
                </c:pt>
                <c:pt idx="65">
                  <c:v>1.2241201480665343E-2</c:v>
                </c:pt>
                <c:pt idx="66">
                  <c:v>1.2352958584145314E-2</c:v>
                </c:pt>
                <c:pt idx="67">
                  <c:v>1.2461668747520577E-2</c:v>
                </c:pt>
                <c:pt idx="68">
                  <c:v>1.2567441515464203E-2</c:v>
                </c:pt>
                <c:pt idx="69">
                  <c:v>1.2670382166850569E-2</c:v>
                </c:pt>
                <c:pt idx="70">
                  <c:v>1.2770591851379314E-2</c:v>
                </c:pt>
                <c:pt idx="71">
                  <c:v>1.2868167727414387E-2</c:v>
                </c:pt>
                <c:pt idx="72">
                  <c:v>1.2963203100049749E-2</c:v>
                </c:pt>
                <c:pt idx="73">
                  <c:v>1.3055787558567903E-2</c:v>
                </c:pt>
                <c:pt idx="74">
                  <c:v>1.3146007112592763E-2</c:v>
                </c:pt>
                <c:pt idx="75">
                  <c:v>1.3233944326356481E-2</c:v>
                </c:pt>
                <c:pt idx="76">
                  <c:v>1.331967845060293E-2</c:v>
                </c:pt>
                <c:pt idx="77">
                  <c:v>1.3403285551740099E-2</c:v>
                </c:pt>
                <c:pt idx="78">
                  <c:v>1.348483863793151E-2</c:v>
                </c:pt>
                <c:pt idx="79">
                  <c:v>1.3564407781884086E-2</c:v>
                </c:pt>
                <c:pt idx="80">
                  <c:v>1.3642060240148135E-2</c:v>
                </c:pt>
                <c:pt idx="81">
                  <c:v>1.37178605687951E-2</c:v>
                </c:pt>
                <c:pt idx="82">
                  <c:v>1.3791870735381776E-2</c:v>
                </c:pt>
                <c:pt idx="83">
                  <c:v>1.3864150227146292E-2</c:v>
                </c:pt>
                <c:pt idx="84">
                  <c:v>1.3934756155412405E-2</c:v>
                </c:pt>
                <c:pt idx="85">
                  <c:v>1.400374335620504E-2</c:v>
                </c:pt>
                <c:pt idx="86">
                  <c:v>1.4071164487102125E-2</c:v>
                </c:pt>
                <c:pt idx="87">
                  <c:v>1.4137070120366307E-2</c:v>
                </c:pt>
                <c:pt idx="88">
                  <c:v>1.4201508832415418E-2</c:v>
                </c:pt>
                <c:pt idx="89">
                  <c:v>1.4264527289702966E-2</c:v>
                </c:pt>
                <c:pt idx="90">
                  <c:v>1.4326170331090099E-2</c:v>
                </c:pt>
                <c:pt idx="91">
                  <c:v>1.4386481046798334E-2</c:v>
                </c:pt>
                <c:pt idx="92">
                  <c:v>1.4445500854038546E-2</c:v>
                </c:pt>
                <c:pt idx="93">
                  <c:v>1.4503269569416253E-2</c:v>
                </c:pt>
                <c:pt idx="94">
                  <c:v>1.4559825478216481E-2</c:v>
                </c:pt>
                <c:pt idx="95">
                  <c:v>1.4615205400673549E-2</c:v>
                </c:pt>
                <c:pt idx="96">
                  <c:v>1.4669444755332221E-2</c:v>
                </c:pt>
                <c:pt idx="97">
                  <c:v>1.4722577619606951E-2</c:v>
                </c:pt>
                <c:pt idx="98">
                  <c:v>1.4774636787645507E-2</c:v>
                </c:pt>
                <c:pt idx="99">
                  <c:v>1.4825653825602237E-2</c:v>
                </c:pt>
                <c:pt idx="100">
                  <c:v>1.4875659124424791E-2</c:v>
                </c:pt>
                <c:pt idx="101">
                  <c:v>1.492468195025615E-2</c:v>
                </c:pt>
                <c:pt idx="102">
                  <c:v>1.4972750492551673E-2</c:v>
                </c:pt>
                <c:pt idx="103">
                  <c:v>1.5019891910008321E-2</c:v>
                </c:pt>
                <c:pt idx="104">
                  <c:v>1.506613237440064E-2</c:v>
                </c:pt>
                <c:pt idx="105">
                  <c:v>1.5111497112415192E-2</c:v>
                </c:pt>
                <c:pt idx="106">
                  <c:v>1.5156010445572205E-2</c:v>
                </c:pt>
                <c:pt idx="107">
                  <c:v>1.5199695828320271E-2</c:v>
                </c:pt>
                <c:pt idx="108">
                  <c:v>1.5242575884386775E-2</c:v>
                </c:pt>
                <c:pt idx="109">
                  <c:v>1.5284672441463778E-2</c:v>
                </c:pt>
                <c:pt idx="110">
                  <c:v>1.5326006564305952E-2</c:v>
                </c:pt>
                <c:pt idx="111">
                  <c:v>1.536659858631418E-2</c:v>
                </c:pt>
                <c:pt idx="112">
                  <c:v>1.5406468139675398E-2</c:v>
                </c:pt>
                <c:pt idx="113">
                  <c:v>1.5445634184126346E-2</c:v>
                </c:pt>
                <c:pt idx="114">
                  <c:v>1.5484115034406033E-2</c:v>
                </c:pt>
                <c:pt idx="115">
                  <c:v>1.5521928386458838E-2</c:v>
                </c:pt>
                <c:pt idx="116">
                  <c:v>1.5559091342447531E-2</c:v>
                </c:pt>
                <c:pt idx="117">
                  <c:v>1.5595620434632767E-2</c:v>
                </c:pt>
                <c:pt idx="118">
                  <c:v>1.5631531648173096E-2</c:v>
                </c:pt>
                <c:pt idx="119">
                  <c:v>1.5666840442896998E-2</c:v>
                </c:pt>
                <c:pt idx="120">
                  <c:v>1.5701561774096102E-2</c:v>
                </c:pt>
                <c:pt idx="121">
                  <c:v>1.5735710112386447E-2</c:v>
                </c:pt>
                <c:pt idx="122">
                  <c:v>1.5769299462682362E-2</c:v>
                </c:pt>
                <c:pt idx="123">
                  <c:v>1.5802343382325518E-2</c:v>
                </c:pt>
                <c:pt idx="124">
                  <c:v>1.5834854998409604E-2</c:v>
                </c:pt>
                <c:pt idx="125">
                  <c:v>1.5866847024339079E-2</c:v>
                </c:pt>
                <c:pt idx="126">
                  <c:v>1.5898331775658765E-2</c:v>
                </c:pt>
                <c:pt idx="127">
                  <c:v>1.5929321185188996E-2</c:v>
                </c:pt>
                <c:pt idx="128">
                  <c:v>1.5959826817499596E-2</c:v>
                </c:pt>
                <c:pt idx="129">
                  <c:v>1.5989859882754122E-2</c:v>
                </c:pt>
                <c:pt idx="130">
                  <c:v>1.6019431249954429E-2</c:v>
                </c:pt>
                <c:pt idx="131">
                  <c:v>1.6048551459613966E-2</c:v>
                </c:pt>
                <c:pt idx="132">
                  <c:v>1.6077230735886936E-2</c:v>
                </c:pt>
                <c:pt idx="133">
                  <c:v>1.6105478998179084E-2</c:v>
                </c:pt>
                <c:pt idx="134">
                  <c:v>1.6133305872264501E-2</c:v>
                </c:pt>
                <c:pt idx="135">
                  <c:v>1.6160720700931771E-2</c:v>
                </c:pt>
                <c:pt idx="136">
                  <c:v>1.6187732554181527E-2</c:v>
                </c:pt>
                <c:pt idx="137">
                  <c:v>1.6214350238996394E-2</c:v>
                </c:pt>
                <c:pt idx="138">
                  <c:v>1.6240582308703302E-2</c:v>
                </c:pt>
                <c:pt idx="139">
                  <c:v>1.6266437071947124E-2</c:v>
                </c:pt>
                <c:pt idx="140">
                  <c:v>1.6291922601293637E-2</c:v>
                </c:pt>
                <c:pt idx="141">
                  <c:v>1.6317046741478953E-2</c:v>
                </c:pt>
                <c:pt idx="142">
                  <c:v>1.6341817117321716E-2</c:v>
                </c:pt>
                <c:pt idx="143">
                  <c:v>1.6366241141313471E-2</c:v>
                </c:pt>
                <c:pt idx="144">
                  <c:v>1.6390326020901975E-2</c:v>
                </c:pt>
                <c:pt idx="145">
                  <c:v>1.6414078765481413E-2</c:v>
                </c:pt>
                <c:pt idx="146">
                  <c:v>1.6437506193102767E-2</c:v>
                </c:pt>
                <c:pt idx="147">
                  <c:v>1.6460614936917063E-2</c:v>
                </c:pt>
                <c:pt idx="148">
                  <c:v>1.6483411451363398E-2</c:v>
                </c:pt>
                <c:pt idx="149">
                  <c:v>1.6505902018113288E-2</c:v>
                </c:pt>
                <c:pt idx="150">
                  <c:v>1.6528092751782127E-2</c:v>
                </c:pt>
                <c:pt idx="151">
                  <c:v>1.6549989605418126E-2</c:v>
                </c:pt>
                <c:pt idx="152">
                  <c:v>1.6571598375778596E-2</c:v>
                </c:pt>
                <c:pt idx="153">
                  <c:v>1.6592924708402873E-2</c:v>
                </c:pt>
                <c:pt idx="154">
                  <c:v>1.6613974102490846E-2</c:v>
                </c:pt>
                <c:pt idx="155">
                  <c:v>1.6634751915595564E-2</c:v>
                </c:pt>
                <c:pt idx="156">
                  <c:v>1.6655263368137961E-2</c:v>
                </c:pt>
                <c:pt idx="157">
                  <c:v>1.6675513547751424E-2</c:v>
                </c:pt>
                <c:pt idx="158">
                  <c:v>1.6695507413463481E-2</c:v>
                </c:pt>
                <c:pt idx="159">
                  <c:v>1.6715249799721645E-2</c:v>
                </c:pt>
                <c:pt idx="160">
                  <c:v>1.673474542026997E-2</c:v>
                </c:pt>
                <c:pt idx="161">
                  <c:v>1.6753998871882725E-2</c:v>
                </c:pt>
                <c:pt idx="162">
                  <c:v>1.6773014637961166E-2</c:v>
                </c:pt>
                <c:pt idx="163">
                  <c:v>1.6791797091999187E-2</c:v>
                </c:pt>
                <c:pt idx="164">
                  <c:v>1.6810350500923291E-2</c:v>
                </c:pt>
                <c:pt idx="165">
                  <c:v>1.682867902831215E-2</c:v>
                </c:pt>
                <c:pt idx="166">
                  <c:v>1.6846786737500705E-2</c:v>
                </c:pt>
                <c:pt idx="167">
                  <c:v>1.6864677594573569E-2</c:v>
                </c:pt>
                <c:pt idx="168">
                  <c:v>1.6882355471252272E-2</c:v>
                </c:pt>
                <c:pt idx="169">
                  <c:v>1.689982414768066E-2</c:v>
                </c:pt>
                <c:pt idx="170">
                  <c:v>1.6917087315112617E-2</c:v>
                </c:pt>
                <c:pt idx="171">
                  <c:v>1.6934148578505993E-2</c:v>
                </c:pt>
                <c:pt idx="172">
                  <c:v>1.6951011459026548E-2</c:v>
                </c:pt>
                <c:pt idx="173">
                  <c:v>1.6967679396465509E-2</c:v>
                </c:pt>
                <c:pt idx="174">
                  <c:v>1.698415575157413E-2</c:v>
                </c:pt>
                <c:pt idx="175">
                  <c:v>1.70004438083186E-2</c:v>
                </c:pt>
                <c:pt idx="176">
                  <c:v>1.7016546776058367E-2</c:v>
                </c:pt>
                <c:pt idx="177">
                  <c:v>1.7032467791650945E-2</c:v>
                </c:pt>
                <c:pt idx="178">
                  <c:v>1.7048209921485997E-2</c:v>
                </c:pt>
                <c:pt idx="179">
                  <c:v>1.7063776163451502E-2</c:v>
                </c:pt>
                <c:pt idx="180">
                  <c:v>1.7079169448834572E-2</c:v>
                </c:pt>
                <c:pt idx="181">
                  <c:v>1.7094392644159465E-2</c:v>
                </c:pt>
                <c:pt idx="182">
                  <c:v>1.7109448552965152E-2</c:v>
                </c:pt>
                <c:pt idx="183">
                  <c:v>1.7124339917524791E-2</c:v>
                </c:pt>
                <c:pt idx="184">
                  <c:v>1.7139069420509231E-2</c:v>
                </c:pt>
                <c:pt idx="185">
                  <c:v>1.7153639686596715E-2</c:v>
                </c:pt>
                <c:pt idx="186">
                  <c:v>1.7168053284030774E-2</c:v>
                </c:pt>
                <c:pt idx="187">
                  <c:v>1.7182312726128201E-2</c:v>
                </c:pt>
                <c:pt idx="188">
                  <c:v>1.7196420472739032E-2</c:v>
                </c:pt>
                <c:pt idx="189">
                  <c:v>1.7210378931660227E-2</c:v>
                </c:pt>
                <c:pt idx="190">
                  <c:v>1.7224190460004798E-2</c:v>
                </c:pt>
                <c:pt idx="191">
                  <c:v>1.7237857365527996E-2</c:v>
                </c:pt>
                <c:pt idx="192">
                  <c:v>1.7251381907912103E-2</c:v>
                </c:pt>
                <c:pt idx="193">
                  <c:v>1.7264766300011343E-2</c:v>
                </c:pt>
                <c:pt idx="194">
                  <c:v>1.7278012709058339E-2</c:v>
                </c:pt>
                <c:pt idx="195">
                  <c:v>1.7291123257833479E-2</c:v>
                </c:pt>
                <c:pt idx="196">
                  <c:v>1.7304100025798554E-2</c:v>
                </c:pt>
                <c:pt idx="197">
                  <c:v>1.7316945050195869E-2</c:v>
                </c:pt>
                <c:pt idx="198">
                  <c:v>1.7329660327114096E-2</c:v>
                </c:pt>
                <c:pt idx="199">
                  <c:v>1.7342247812522034E-2</c:v>
                </c:pt>
                <c:pt idx="200">
                  <c:v>1.7354709423271344E-2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'Application (iii)'!$J$1</c:f>
              <c:strCache>
                <c:ptCount val="1"/>
                <c:pt idx="0">
                  <c:v>zero rate (with residual)</c:v>
                </c:pt>
              </c:strCache>
            </c:strRef>
          </c:tx>
          <c:marker>
            <c:symbol val="none"/>
          </c:marker>
          <c:xVal>
            <c:numRef>
              <c:f>'Application (iii)'!$G$2:$G$202</c:f>
              <c:numCache>
                <c:formatCode>General</c:formatCode>
                <c:ptCount val="2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</c:numCache>
            </c:numRef>
          </c:xVal>
          <c:yVal>
            <c:numRef>
              <c:f>'Application (iii)'!$J$2:$J$202</c:f>
              <c:numCache>
                <c:formatCode>General</c:formatCode>
                <c:ptCount val="201"/>
                <c:pt idx="0">
                  <c:v>-1.8532798490497326E-3</c:v>
                </c:pt>
                <c:pt idx="1">
                  <c:v>-2.4860139999999982E-3</c:v>
                </c:pt>
                <c:pt idx="2">
                  <c:v>-2.6129289999999995E-3</c:v>
                </c:pt>
                <c:pt idx="3">
                  <c:v>-2.6558288878805944E-3</c:v>
                </c:pt>
                <c:pt idx="4">
                  <c:v>-2.6927409999999994E-3</c:v>
                </c:pt>
                <c:pt idx="5">
                  <c:v>-2.6707617391813622E-3</c:v>
                </c:pt>
                <c:pt idx="6">
                  <c:v>-2.5895936678849638E-3</c:v>
                </c:pt>
                <c:pt idx="7">
                  <c:v>-2.4609922203780339E-3</c:v>
                </c:pt>
                <c:pt idx="8">
                  <c:v>-2.2953549999999981E-3</c:v>
                </c:pt>
                <c:pt idx="9">
                  <c:v>-2.1009671387547022E-3</c:v>
                </c:pt>
                <c:pt idx="10">
                  <c:v>-1.8814159663342368E-3</c:v>
                </c:pt>
                <c:pt idx="11">
                  <c:v>-1.6384334043625605E-3</c:v>
                </c:pt>
                <c:pt idx="12">
                  <c:v>-1.3729110000000001E-3</c:v>
                </c:pt>
                <c:pt idx="13">
                  <c:v>-1.0857197375566867E-3</c:v>
                </c:pt>
                <c:pt idx="14">
                  <c:v>-7.7996661860770271E-4</c:v>
                </c:pt>
                <c:pt idx="15">
                  <c:v>-4.5889994398683024E-4</c:v>
                </c:pt>
                <c:pt idx="16">
                  <c:v>-1.2525349820073715E-4</c:v>
                </c:pt>
                <c:pt idx="17">
                  <c:v>2.1869311171343207E-4</c:v>
                </c:pt>
                <c:pt idx="18">
                  <c:v>5.7106080613205594E-4</c:v>
                </c:pt>
                <c:pt idx="19">
                  <c:v>9.3032335100476306E-4</c:v>
                </c:pt>
                <c:pt idx="20">
                  <c:v>1.2952650000000033E-3</c:v>
                </c:pt>
                <c:pt idx="21">
                  <c:v>1.6647972540219046E-3</c:v>
                </c:pt>
                <c:pt idx="22">
                  <c:v>2.0374885926595027E-3</c:v>
                </c:pt>
                <c:pt idx="23">
                  <c:v>2.4119717634826371E-3</c:v>
                </c:pt>
                <c:pt idx="24">
                  <c:v>2.7870631723534616E-3</c:v>
                </c:pt>
                <c:pt idx="25">
                  <c:v>3.1617396383644158E-3</c:v>
                </c:pt>
                <c:pt idx="26">
                  <c:v>3.5351178162343643E-3</c:v>
                </c:pt>
                <c:pt idx="27">
                  <c:v>3.9064359933471673E-3</c:v>
                </c:pt>
                <c:pt idx="28">
                  <c:v>4.275038000000001E-3</c:v>
                </c:pt>
                <c:pt idx="29">
                  <c:v>4.6403276366908143E-3</c:v>
                </c:pt>
                <c:pt idx="30">
                  <c:v>5.0016620473733991E-3</c:v>
                </c:pt>
                <c:pt idx="31">
                  <c:v>5.3584347553012595E-3</c:v>
                </c:pt>
                <c:pt idx="32">
                  <c:v>5.7100972932531448E-3</c:v>
                </c:pt>
                <c:pt idx="33">
                  <c:v>6.0561506431173577E-3</c:v>
                </c:pt>
                <c:pt idx="34">
                  <c:v>6.3961377158393597E-3</c:v>
                </c:pt>
                <c:pt idx="35">
                  <c:v>6.7296367542532525E-3</c:v>
                </c:pt>
                <c:pt idx="36">
                  <c:v>7.05625555411327E-3</c:v>
                </c:pt>
                <c:pt idx="37">
                  <c:v>7.375626410071669E-3</c:v>
                </c:pt>
                <c:pt idx="38">
                  <c:v>7.6874017035577346E-3</c:v>
                </c:pt>
                <c:pt idx="39">
                  <c:v>7.9912500586284945E-3</c:v>
                </c:pt>
                <c:pt idx="40">
                  <c:v>8.2868530000000089E-3</c:v>
                </c:pt>
                <c:pt idx="41">
                  <c:v>8.5739781353919436E-3</c:v>
                </c:pt>
                <c:pt idx="42">
                  <c:v>8.8527048908008873E-3</c:v>
                </c:pt>
                <c:pt idx="43">
                  <c:v>9.1231941071658173E-3</c:v>
                </c:pt>
                <c:pt idx="44">
                  <c:v>9.3856101026010986E-3</c:v>
                </c:pt>
                <c:pt idx="45">
                  <c:v>9.6401190830373365E-3</c:v>
                </c:pt>
                <c:pt idx="46">
                  <c:v>9.8868877882123309E-3</c:v>
                </c:pt>
                <c:pt idx="47">
                  <c:v>1.0126082344270003E-2</c:v>
                </c:pt>
                <c:pt idx="48">
                  <c:v>1.0357867297482918E-2</c:v>
                </c:pt>
                <c:pt idx="49">
                  <c:v>1.0582404806515892E-2</c:v>
                </c:pt>
                <c:pt idx="50">
                  <c:v>1.0799853973232462E-2</c:v>
                </c:pt>
                <c:pt idx="51">
                  <c:v>1.1010370294346421E-2</c:v>
                </c:pt>
                <c:pt idx="52">
                  <c:v>1.1214105218267876E-2</c:v>
                </c:pt>
                <c:pt idx="53">
                  <c:v>1.1411205793314325E-2</c:v>
                </c:pt>
                <c:pt idx="54">
                  <c:v>1.1601814395076777E-2</c:v>
                </c:pt>
                <c:pt idx="55">
                  <c:v>1.178606852217029E-2</c:v>
                </c:pt>
                <c:pt idx="56">
                  <c:v>1.1964100650877177E-2</c:v>
                </c:pt>
                <c:pt idx="57">
                  <c:v>1.2136038140326971E-2</c:v>
                </c:pt>
                <c:pt idx="58">
                  <c:v>1.2302003180865273E-2</c:v>
                </c:pt>
                <c:pt idx="59">
                  <c:v>1.2462112779158116E-2</c:v>
                </c:pt>
                <c:pt idx="60">
                  <c:v>1.2616478774371363E-2</c:v>
                </c:pt>
                <c:pt idx="61">
                  <c:v>1.2765207880467654E-2</c:v>
                </c:pt>
                <c:pt idx="62">
                  <c:v>1.2908401750285646E-2</c:v>
                </c:pt>
                <c:pt idx="63">
                  <c:v>1.3046157057617186E-2</c:v>
                </c:pt>
                <c:pt idx="64">
                  <c:v>1.3178565593985307E-2</c:v>
                </c:pt>
                <c:pt idx="65">
                  <c:v>1.330571437725636E-2</c:v>
                </c:pt>
                <c:pt idx="66">
                  <c:v>1.3427685769599863E-2</c:v>
                </c:pt>
                <c:pt idx="67">
                  <c:v>1.3544557602644988E-2</c:v>
                </c:pt>
                <c:pt idx="68">
                  <c:v>1.3656403307978311E-2</c:v>
                </c:pt>
                <c:pt idx="69">
                  <c:v>1.3763292051387706E-2</c:v>
                </c:pt>
                <c:pt idx="70">
                  <c:v>1.3865288869486316E-2</c:v>
                </c:pt>
                <c:pt idx="71">
                  <c:v>1.3962454807551591E-2</c:v>
                </c:pt>
                <c:pt idx="72">
                  <c:v>1.4054847057590992E-2</c:v>
                </c:pt>
                <c:pt idx="73">
                  <c:v>1.4142519095800523E-2</c:v>
                </c:pt>
                <c:pt idx="74">
                  <c:v>1.4225520818717601E-2</c:v>
                </c:pt>
                <c:pt idx="75">
                  <c:v>1.4303898677487879E-2</c:v>
                </c:pt>
                <c:pt idx="76">
                  <c:v>1.4377695809768732E-2</c:v>
                </c:pt>
                <c:pt idx="77">
                  <c:v>1.4446952168881647E-2</c:v>
                </c:pt>
                <c:pt idx="78">
                  <c:v>1.4511704649903652E-2</c:v>
                </c:pt>
                <c:pt idx="79">
                  <c:v>1.4571987212455168E-2</c:v>
                </c:pt>
                <c:pt idx="80">
                  <c:v>1.4627831000000004E-2</c:v>
                </c:pt>
                <c:pt idx="81">
                  <c:v>1.4679288676816371E-2</c:v>
                </c:pt>
                <c:pt idx="82">
                  <c:v>1.4726507203840861E-2</c:v>
                </c:pt>
                <c:pt idx="83">
                  <c:v>1.476965528298468E-2</c:v>
                </c:pt>
                <c:pt idx="84">
                  <c:v>1.4808899240244649E-2</c:v>
                </c:pt>
                <c:pt idx="85">
                  <c:v>1.4844403126318755E-2</c:v>
                </c:pt>
                <c:pt idx="86">
                  <c:v>1.4876328813458E-2</c:v>
                </c:pt>
                <c:pt idx="87">
                  <c:v>1.4904836088598102E-2</c:v>
                </c:pt>
                <c:pt idx="88">
                  <c:v>1.4930082742829962E-2</c:v>
                </c:pt>
                <c:pt idx="89">
                  <c:v>1.4952224657280149E-2</c:v>
                </c:pt>
                <c:pt idx="90">
                  <c:v>1.4971415885482875E-2</c:v>
                </c:pt>
                <c:pt idx="91">
                  <c:v>1.4987808732332738E-2</c:v>
                </c:pt>
                <c:pt idx="92">
                  <c:v>1.500155382971367E-2</c:v>
                </c:pt>
                <c:pt idx="93">
                  <c:v>1.5012800208904263E-2</c:v>
                </c:pt>
                <c:pt idx="94">
                  <c:v>1.5021695369862607E-2</c:v>
                </c:pt>
                <c:pt idx="95">
                  <c:v>1.5028385347496098E-2</c:v>
                </c:pt>
                <c:pt idx="96">
                  <c:v>1.5033014775022552E-2</c:v>
                </c:pt>
                <c:pt idx="97">
                  <c:v>1.5035726944529509E-2</c:v>
                </c:pt>
                <c:pt idx="98">
                  <c:v>1.5036663864837783E-2</c:v>
                </c:pt>
                <c:pt idx="99">
                  <c:v>1.50359663167748E-2</c:v>
                </c:pt>
                <c:pt idx="100">
                  <c:v>1.5033773905961299E-2</c:v>
                </c:pt>
                <c:pt idx="101">
                  <c:v>1.5030225113213296E-2</c:v>
                </c:pt>
                <c:pt idx="102">
                  <c:v>1.5025457342659232E-2</c:v>
                </c:pt>
                <c:pt idx="103">
                  <c:v>1.5019606967669137E-2</c:v>
                </c:pt>
                <c:pt idx="104">
                  <c:v>1.5012809374690628E-2</c:v>
                </c:pt>
                <c:pt idx="105">
                  <c:v>1.5005199005083326E-2</c:v>
                </c:pt>
                <c:pt idx="106">
                  <c:v>1.4996909395040539E-2</c:v>
                </c:pt>
                <c:pt idx="107">
                  <c:v>1.4988073213683905E-2</c:v>
                </c:pt>
                <c:pt idx="108">
                  <c:v>1.4978822299413892E-2</c:v>
                </c:pt>
                <c:pt idx="109">
                  <c:v>1.4969287694595637E-2</c:v>
                </c:pt>
                <c:pt idx="110">
                  <c:v>1.4959599678656862E-2</c:v>
                </c:pt>
                <c:pt idx="111">
                  <c:v>1.4949887799671538E-2</c:v>
                </c:pt>
                <c:pt idx="112">
                  <c:v>1.4940280904499649E-2</c:v>
                </c:pt>
                <c:pt idx="113">
                  <c:v>1.493090716755102E-2</c:v>
                </c:pt>
                <c:pt idx="114">
                  <c:v>1.4921894118237715E-2</c:v>
                </c:pt>
                <c:pt idx="115">
                  <c:v>1.4913368667177187E-2</c:v>
                </c:pt>
                <c:pt idx="116">
                  <c:v>1.4905457131205269E-2</c:v>
                </c:pt>
                <c:pt idx="117">
                  <c:v>1.4898285257255679E-2</c:v>
                </c:pt>
                <c:pt idx="118">
                  <c:v>1.489197824516005E-2</c:v>
                </c:pt>
                <c:pt idx="119">
                  <c:v>1.4886660769419911E-2</c:v>
                </c:pt>
                <c:pt idx="120">
                  <c:v>1.4882457E-2</c:v>
                </c:pt>
                <c:pt idx="121">
                  <c:v>1.4879468648109455E-2</c:v>
                </c:pt>
                <c:pt idx="122">
                  <c:v>1.4877709062936065E-2</c:v>
                </c:pt>
                <c:pt idx="123">
                  <c:v>1.4877169172015033E-2</c:v>
                </c:pt>
                <c:pt idx="124">
                  <c:v>1.4877839472633565E-2</c:v>
                </c:pt>
                <c:pt idx="125">
                  <c:v>1.4879710048389647E-2</c:v>
                </c:pt>
                <c:pt idx="126">
                  <c:v>1.4882770585021615E-2</c:v>
                </c:pt>
                <c:pt idx="127">
                  <c:v>1.488701038554335E-2</c:v>
                </c:pt>
                <c:pt idx="128">
                  <c:v>1.4892418384718185E-2</c:v>
                </c:pt>
                <c:pt idx="129">
                  <c:v>1.4898983162903202E-2</c:v>
                </c:pt>
                <c:pt idx="130">
                  <c:v>1.4906692959293786E-2</c:v>
                </c:pt>
                <c:pt idx="131">
                  <c:v>1.4915535684596901E-2</c:v>
                </c:pt>
                <c:pt idx="132">
                  <c:v>1.4925498933160284E-2</c:v>
                </c:pt>
                <c:pt idx="133">
                  <c:v>1.4936569994583201E-2</c:v>
                </c:pt>
                <c:pt idx="134">
                  <c:v>1.4948735864833255E-2</c:v>
                </c:pt>
                <c:pt idx="135">
                  <c:v>1.4961983256892578E-2</c:v>
                </c:pt>
                <c:pt idx="136">
                  <c:v>1.497629861095531E-2</c:v>
                </c:pt>
                <c:pt idx="137">
                  <c:v>1.4991668104197595E-2</c:v>
                </c:pt>
                <c:pt idx="138">
                  <c:v>1.500807766013991E-2</c:v>
                </c:pt>
                <c:pt idx="139">
                  <c:v>1.5025512957620633E-2</c:v>
                </c:pt>
                <c:pt idx="140">
                  <c:v>1.5043959439399072E-2</c:v>
                </c:pt>
                <c:pt idx="141">
                  <c:v>1.5063402320404869E-2</c:v>
                </c:pt>
                <c:pt idx="142">
                  <c:v>1.5083826595650177E-2</c:v>
                </c:pt>
                <c:pt idx="143">
                  <c:v>1.5105217047820065E-2</c:v>
                </c:pt>
                <c:pt idx="144">
                  <c:v>1.5127558254555831E-2</c:v>
                </c:pt>
                <c:pt idx="145">
                  <c:v>1.5150834595445181E-2</c:v>
                </c:pt>
                <c:pt idx="146">
                  <c:v>1.5175030258732611E-2</c:v>
                </c:pt>
                <c:pt idx="147">
                  <c:v>1.5200129247762685E-2</c:v>
                </c:pt>
                <c:pt idx="148">
                  <c:v>1.5226115387168008E-2</c:v>
                </c:pt>
                <c:pt idx="149">
                  <c:v>1.5252972328813622E-2</c:v>
                </c:pt>
                <c:pt idx="150">
                  <c:v>1.5280683557508456E-2</c:v>
                </c:pt>
                <c:pt idx="151">
                  <c:v>1.5309232396494253E-2</c:v>
                </c:pt>
                <c:pt idx="152">
                  <c:v>1.5338602012721816E-2</c:v>
                </c:pt>
                <c:pt idx="153">
                  <c:v>1.5368775421924025E-2</c:v>
                </c:pt>
                <c:pt idx="154">
                  <c:v>1.5399735493494313E-2</c:v>
                </c:pt>
                <c:pt idx="155">
                  <c:v>1.5431464955179216E-2</c:v>
                </c:pt>
                <c:pt idx="156">
                  <c:v>1.5463946397593221E-2</c:v>
                </c:pt>
                <c:pt idx="157">
                  <c:v>1.5497162278563216E-2</c:v>
                </c:pt>
                <c:pt idx="158">
                  <c:v>1.5531094927310255E-2</c:v>
                </c:pt>
                <c:pt idx="159">
                  <c:v>1.5565726548475413E-2</c:v>
                </c:pt>
                <c:pt idx="160">
                  <c:v>1.5601039225996215E-2</c:v>
                </c:pt>
                <c:pt idx="161">
                  <c:v>1.5637014926840498E-2</c:v>
                </c:pt>
                <c:pt idx="162">
                  <c:v>1.567363550460301E-2</c:v>
                </c:pt>
                <c:pt idx="163">
                  <c:v>1.571088270297118E-2</c:v>
                </c:pt>
                <c:pt idx="164">
                  <c:v>1.5748738159065051E-2</c:v>
                </c:pt>
                <c:pt idx="165">
                  <c:v>1.5787183406656795E-2</c:v>
                </c:pt>
                <c:pt idx="166">
                  <c:v>1.5826199879274899E-2</c:v>
                </c:pt>
                <c:pt idx="167">
                  <c:v>1.5865768913197482E-2</c:v>
                </c:pt>
                <c:pt idx="168">
                  <c:v>1.5905871750339608E-2</c:v>
                </c:pt>
                <c:pt idx="169">
                  <c:v>1.5946489541038646E-2</c:v>
                </c:pt>
                <c:pt idx="170">
                  <c:v>1.5987603346741989E-2</c:v>
                </c:pt>
                <c:pt idx="171">
                  <c:v>1.6029194142601049E-2</c:v>
                </c:pt>
                <c:pt idx="172">
                  <c:v>1.6071242819975053E-2</c:v>
                </c:pt>
                <c:pt idx="173">
                  <c:v>1.6113730188848822E-2</c:v>
                </c:pt>
                <c:pt idx="174">
                  <c:v>1.6156636980167081E-2</c:v>
                </c:pt>
                <c:pt idx="175">
                  <c:v>1.6199943848089555E-2</c:v>
                </c:pt>
                <c:pt idx="176">
                  <c:v>1.6243631372169238E-2</c:v>
                </c:pt>
                <c:pt idx="177">
                  <c:v>1.6287680059457129E-2</c:v>
                </c:pt>
                <c:pt idx="178">
                  <c:v>1.633207034653646E-2</c:v>
                </c:pt>
                <c:pt idx="179">
                  <c:v>1.6376782601488688E-2</c:v>
                </c:pt>
                <c:pt idx="180">
                  <c:v>1.6421797125794488E-2</c:v>
                </c:pt>
                <c:pt idx="181">
                  <c:v>1.6467094156171629E-2</c:v>
                </c:pt>
                <c:pt idx="182">
                  <c:v>1.6512653866352589E-2</c:v>
                </c:pt>
                <c:pt idx="183">
                  <c:v>1.6558456368804094E-2</c:v>
                </c:pt>
                <c:pt idx="184">
                  <c:v>1.6604481716390458E-2</c:v>
                </c:pt>
                <c:pt idx="185">
                  <c:v>1.6650709903983506E-2</c:v>
                </c:pt>
                <c:pt idx="186">
                  <c:v>1.6697120870020232E-2</c:v>
                </c:pt>
                <c:pt idx="187">
                  <c:v>1.6743694498011007E-2</c:v>
                </c:pt>
                <c:pt idx="188">
                  <c:v>1.6790410617999373E-2</c:v>
                </c:pt>
                <c:pt idx="189">
                  <c:v>1.6837249007975806E-2</c:v>
                </c:pt>
                <c:pt idx="190">
                  <c:v>1.6884189395246864E-2</c:v>
                </c:pt>
                <c:pt idx="191">
                  <c:v>1.6931211457761292E-2</c:v>
                </c:pt>
                <c:pt idx="192">
                  <c:v>1.6978294825394924E-2</c:v>
                </c:pt>
                <c:pt idx="193">
                  <c:v>1.7025419081195481E-2</c:v>
                </c:pt>
                <c:pt idx="194">
                  <c:v>1.7072563762589126E-2</c:v>
                </c:pt>
                <c:pt idx="195">
                  <c:v>1.7119708362549776E-2</c:v>
                </c:pt>
                <c:pt idx="196">
                  <c:v>1.7166832330732733E-2</c:v>
                </c:pt>
                <c:pt idx="197">
                  <c:v>1.7213915074573857E-2</c:v>
                </c:pt>
                <c:pt idx="198">
                  <c:v>1.7260935960355293E-2</c:v>
                </c:pt>
                <c:pt idx="199">
                  <c:v>1.7307874314239406E-2</c:v>
                </c:pt>
                <c:pt idx="200">
                  <c:v>1.7354709423271358E-2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41440"/>
        <c:axId val="158143232"/>
      </c:scatterChart>
      <c:valAx>
        <c:axId val="15814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143232"/>
        <c:crosses val="autoZero"/>
        <c:crossBetween val="midCat"/>
      </c:valAx>
      <c:valAx>
        <c:axId val="15814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141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NPV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'Application(iv)&amp;(v)'!$F$9:$F$12</c:f>
              <c:strCache>
                <c:ptCount val="4"/>
                <c:pt idx="0">
                  <c:v>original NPV</c:v>
                </c:pt>
                <c:pt idx="1">
                  <c:v>decrease β0</c:v>
                </c:pt>
                <c:pt idx="2">
                  <c:v>increase β1</c:v>
                </c:pt>
                <c:pt idx="3">
                  <c:v>increase β2</c:v>
                </c:pt>
              </c:strCache>
            </c:strRef>
          </c:cat>
          <c:val>
            <c:numRef>
              <c:f>'Application(iv)&amp;(v)'!$G$9:$G$12</c:f>
              <c:numCache>
                <c:formatCode>General</c:formatCode>
                <c:ptCount val="4"/>
                <c:pt idx="0">
                  <c:v>24.909728765783239</c:v>
                </c:pt>
                <c:pt idx="1">
                  <c:v>24.978787039280018</c:v>
                </c:pt>
                <c:pt idx="2">
                  <c:v>24.921283092264748</c:v>
                </c:pt>
                <c:pt idx="3">
                  <c:v>24.924804073209494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30592"/>
        <c:axId val="157232128"/>
      </c:barChart>
      <c:catAx>
        <c:axId val="15723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7232128"/>
        <c:crosses val="autoZero"/>
        <c:auto val="1"/>
        <c:lblAlgn val="ctr"/>
        <c:lblOffset val="100"/>
        <c:noMultiLvlLbl val="0"/>
      </c:catAx>
      <c:valAx>
        <c:axId val="1572321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230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'Application(iv)&amp;(v)'!$C$13</c:f>
              <c:strCache>
                <c:ptCount val="1"/>
                <c:pt idx="0">
                  <c:v>zero rate 1</c:v>
                </c:pt>
              </c:strCache>
            </c:strRef>
          </c:tx>
          <c:marker>
            <c:symbol val="none"/>
          </c:marker>
          <c:xVal>
            <c:numRef>
              <c:f>'Application(iv)&amp;(v)'!$A$14:$A$73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'Application(iv)&amp;(v)'!$C$14:$C$73</c:f>
              <c:numCache>
                <c:formatCode>General</c:formatCode>
                <c:ptCount val="60"/>
                <c:pt idx="0">
                  <c:v>-2.6129289999999995E-3</c:v>
                </c:pt>
                <c:pt idx="1">
                  <c:v>-2.6927409999999994E-3</c:v>
                </c:pt>
                <c:pt idx="2">
                  <c:v>-2.5895936678849638E-3</c:v>
                </c:pt>
                <c:pt idx="3">
                  <c:v>-2.2953549999999981E-3</c:v>
                </c:pt>
                <c:pt idx="4">
                  <c:v>-1.8814159663342368E-3</c:v>
                </c:pt>
                <c:pt idx="5">
                  <c:v>-1.3729110000000001E-3</c:v>
                </c:pt>
                <c:pt idx="6">
                  <c:v>-7.7996661860770271E-4</c:v>
                </c:pt>
                <c:pt idx="7">
                  <c:v>-1.2525349820073715E-4</c:v>
                </c:pt>
                <c:pt idx="8">
                  <c:v>5.7106080613205594E-4</c:v>
                </c:pt>
                <c:pt idx="9">
                  <c:v>1.2952650000000033E-3</c:v>
                </c:pt>
                <c:pt idx="10">
                  <c:v>2.0374885926595027E-3</c:v>
                </c:pt>
                <c:pt idx="11">
                  <c:v>2.7870631723534616E-3</c:v>
                </c:pt>
                <c:pt idx="12">
                  <c:v>3.5351178162343643E-3</c:v>
                </c:pt>
                <c:pt idx="13">
                  <c:v>4.275038000000001E-3</c:v>
                </c:pt>
                <c:pt idx="14">
                  <c:v>5.0016620473733991E-3</c:v>
                </c:pt>
                <c:pt idx="15">
                  <c:v>5.7100972932531448E-3</c:v>
                </c:pt>
                <c:pt idx="16">
                  <c:v>6.3961377158393597E-3</c:v>
                </c:pt>
                <c:pt idx="17">
                  <c:v>7.05625555411327E-3</c:v>
                </c:pt>
                <c:pt idx="18">
                  <c:v>7.6874017035577346E-3</c:v>
                </c:pt>
                <c:pt idx="19">
                  <c:v>8.2868530000000089E-3</c:v>
                </c:pt>
                <c:pt idx="20">
                  <c:v>8.8527048908008873E-3</c:v>
                </c:pt>
                <c:pt idx="21">
                  <c:v>9.3856101026010986E-3</c:v>
                </c:pt>
                <c:pt idx="22">
                  <c:v>9.8868877882123309E-3</c:v>
                </c:pt>
                <c:pt idx="23">
                  <c:v>1.0357867297482918E-2</c:v>
                </c:pt>
                <c:pt idx="24">
                  <c:v>1.0799853973232462E-2</c:v>
                </c:pt>
                <c:pt idx="25">
                  <c:v>1.1214105218267876E-2</c:v>
                </c:pt>
                <c:pt idx="26">
                  <c:v>1.1601814395076777E-2</c:v>
                </c:pt>
                <c:pt idx="27">
                  <c:v>1.1964100650877177E-2</c:v>
                </c:pt>
                <c:pt idx="28">
                  <c:v>1.2302003180865273E-2</c:v>
                </c:pt>
                <c:pt idx="29">
                  <c:v>1.2616478774371363E-2</c:v>
                </c:pt>
                <c:pt idx="30">
                  <c:v>1.2908401750285646E-2</c:v>
                </c:pt>
                <c:pt idx="31">
                  <c:v>1.3178565593985307E-2</c:v>
                </c:pt>
                <c:pt idx="32">
                  <c:v>1.3427685769599863E-2</c:v>
                </c:pt>
                <c:pt idx="33">
                  <c:v>1.3656403307978311E-2</c:v>
                </c:pt>
                <c:pt idx="34">
                  <c:v>1.3865288869486316E-2</c:v>
                </c:pt>
                <c:pt idx="35">
                  <c:v>1.4054847057590992E-2</c:v>
                </c:pt>
                <c:pt idx="36">
                  <c:v>1.4225520818717601E-2</c:v>
                </c:pt>
                <c:pt idx="37">
                  <c:v>1.4377695809768732E-2</c:v>
                </c:pt>
                <c:pt idx="38">
                  <c:v>1.4511704649903652E-2</c:v>
                </c:pt>
                <c:pt idx="39">
                  <c:v>1.4627831000000004E-2</c:v>
                </c:pt>
                <c:pt idx="40">
                  <c:v>1.4726507203840861E-2</c:v>
                </c:pt>
                <c:pt idx="41">
                  <c:v>1.4808899240244649E-2</c:v>
                </c:pt>
                <c:pt idx="42">
                  <c:v>1.4876328813458E-2</c:v>
                </c:pt>
                <c:pt idx="43">
                  <c:v>1.4930082742829962E-2</c:v>
                </c:pt>
                <c:pt idx="44">
                  <c:v>1.4971415885482875E-2</c:v>
                </c:pt>
                <c:pt idx="45">
                  <c:v>1.500155382971367E-2</c:v>
                </c:pt>
                <c:pt idx="46">
                  <c:v>1.5021695369862607E-2</c:v>
                </c:pt>
                <c:pt idx="47">
                  <c:v>1.5033014775022552E-2</c:v>
                </c:pt>
                <c:pt idx="48">
                  <c:v>1.5036663864837783E-2</c:v>
                </c:pt>
                <c:pt idx="49">
                  <c:v>1.5033773905961299E-2</c:v>
                </c:pt>
                <c:pt idx="50">
                  <c:v>1.5025457342659232E-2</c:v>
                </c:pt>
                <c:pt idx="51">
                  <c:v>1.5012809374690628E-2</c:v>
                </c:pt>
                <c:pt idx="52">
                  <c:v>1.4996909395040539E-2</c:v>
                </c:pt>
                <c:pt idx="53">
                  <c:v>1.4978822299413892E-2</c:v>
                </c:pt>
                <c:pt idx="54">
                  <c:v>1.4959599678656862E-2</c:v>
                </c:pt>
                <c:pt idx="55">
                  <c:v>1.4940280904499649E-2</c:v>
                </c:pt>
                <c:pt idx="56">
                  <c:v>1.4921894118237715E-2</c:v>
                </c:pt>
                <c:pt idx="57">
                  <c:v>1.4905457131205269E-2</c:v>
                </c:pt>
                <c:pt idx="58">
                  <c:v>1.489197824516005E-2</c:v>
                </c:pt>
                <c:pt idx="59">
                  <c:v>1.4882457E-2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'Application(iv)&amp;(v)'!$F$13</c:f>
              <c:strCache>
                <c:ptCount val="1"/>
                <c:pt idx="0">
                  <c:v>zero rate 2</c:v>
                </c:pt>
              </c:strCache>
            </c:strRef>
          </c:tx>
          <c:marker>
            <c:symbol val="none"/>
          </c:marker>
          <c:xVal>
            <c:numRef>
              <c:f>'Application(iv)&amp;(v)'!$A$14:$A$73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'Application(iv)&amp;(v)'!$F$14:$F$73</c:f>
              <c:numCache>
                <c:formatCode>General</c:formatCode>
                <c:ptCount val="60"/>
                <c:pt idx="0">
                  <c:v>-2.8112747032545261E-3</c:v>
                </c:pt>
                <c:pt idx="1">
                  <c:v>-2.891086703254526E-3</c:v>
                </c:pt>
                <c:pt idx="2">
                  <c:v>-2.7879393711394904E-3</c:v>
                </c:pt>
                <c:pt idx="3">
                  <c:v>-2.4937007032545247E-3</c:v>
                </c:pt>
                <c:pt idx="4">
                  <c:v>-2.0797616695887632E-3</c:v>
                </c:pt>
                <c:pt idx="5">
                  <c:v>-1.5712567032545267E-3</c:v>
                </c:pt>
                <c:pt idx="6">
                  <c:v>-9.7831232186222942E-4</c:v>
                </c:pt>
                <c:pt idx="7">
                  <c:v>-3.2359920145526376E-4</c:v>
                </c:pt>
                <c:pt idx="8">
                  <c:v>3.7271510287752933E-4</c:v>
                </c:pt>
                <c:pt idx="9">
                  <c:v>1.0969192967454767E-3</c:v>
                </c:pt>
                <c:pt idx="10">
                  <c:v>1.8391428894049761E-3</c:v>
                </c:pt>
                <c:pt idx="11">
                  <c:v>2.588717469098935E-3</c:v>
                </c:pt>
                <c:pt idx="12">
                  <c:v>3.3367721129798377E-3</c:v>
                </c:pt>
                <c:pt idx="13">
                  <c:v>4.0766922967454744E-3</c:v>
                </c:pt>
                <c:pt idx="14">
                  <c:v>4.8033163441188725E-3</c:v>
                </c:pt>
                <c:pt idx="15">
                  <c:v>5.5117515899986182E-3</c:v>
                </c:pt>
                <c:pt idx="16">
                  <c:v>6.1977920125848331E-3</c:v>
                </c:pt>
                <c:pt idx="17">
                  <c:v>6.8579098508587434E-3</c:v>
                </c:pt>
                <c:pt idx="18">
                  <c:v>7.489056000303208E-3</c:v>
                </c:pt>
                <c:pt idx="19">
                  <c:v>8.0885072967454823E-3</c:v>
                </c:pt>
                <c:pt idx="20">
                  <c:v>8.6543591875463607E-3</c:v>
                </c:pt>
                <c:pt idx="21">
                  <c:v>9.187264399346572E-3</c:v>
                </c:pt>
                <c:pt idx="22">
                  <c:v>9.6885420849578043E-3</c:v>
                </c:pt>
                <c:pt idx="23">
                  <c:v>1.0159521594228392E-2</c:v>
                </c:pt>
                <c:pt idx="24">
                  <c:v>1.0601508269977935E-2</c:v>
                </c:pt>
                <c:pt idx="25">
                  <c:v>1.101575951501335E-2</c:v>
                </c:pt>
                <c:pt idx="26">
                  <c:v>1.140346869182225E-2</c:v>
                </c:pt>
                <c:pt idx="27">
                  <c:v>1.176575494762265E-2</c:v>
                </c:pt>
                <c:pt idx="28">
                  <c:v>1.2103657477610746E-2</c:v>
                </c:pt>
                <c:pt idx="29">
                  <c:v>1.2418133071116836E-2</c:v>
                </c:pt>
                <c:pt idx="30">
                  <c:v>1.2710056047031119E-2</c:v>
                </c:pt>
                <c:pt idx="31">
                  <c:v>1.298021989073078E-2</c:v>
                </c:pt>
                <c:pt idx="32">
                  <c:v>1.3229340066345336E-2</c:v>
                </c:pt>
                <c:pt idx="33">
                  <c:v>1.3458057604723784E-2</c:v>
                </c:pt>
                <c:pt idx="34">
                  <c:v>1.366694316623179E-2</c:v>
                </c:pt>
                <c:pt idx="35">
                  <c:v>1.3856501354336465E-2</c:v>
                </c:pt>
                <c:pt idx="36">
                  <c:v>1.4027175115463074E-2</c:v>
                </c:pt>
                <c:pt idx="37">
                  <c:v>1.4179350106514206E-2</c:v>
                </c:pt>
                <c:pt idx="38">
                  <c:v>1.4313358946649125E-2</c:v>
                </c:pt>
                <c:pt idx="39">
                  <c:v>1.4429485296745478E-2</c:v>
                </c:pt>
                <c:pt idx="40">
                  <c:v>1.4528161500586334E-2</c:v>
                </c:pt>
                <c:pt idx="41">
                  <c:v>1.4610553536990123E-2</c:v>
                </c:pt>
                <c:pt idx="42">
                  <c:v>1.4677983110203473E-2</c:v>
                </c:pt>
                <c:pt idx="43">
                  <c:v>1.4731737039575435E-2</c:v>
                </c:pt>
                <c:pt idx="44">
                  <c:v>1.4773070182228348E-2</c:v>
                </c:pt>
                <c:pt idx="45">
                  <c:v>1.4803208126459143E-2</c:v>
                </c:pt>
                <c:pt idx="46">
                  <c:v>1.4823349666608081E-2</c:v>
                </c:pt>
                <c:pt idx="47">
                  <c:v>1.4834669071768026E-2</c:v>
                </c:pt>
                <c:pt idx="48">
                  <c:v>1.4838318161583257E-2</c:v>
                </c:pt>
                <c:pt idx="49">
                  <c:v>1.4835428202706773E-2</c:v>
                </c:pt>
                <c:pt idx="50">
                  <c:v>1.4827111639404705E-2</c:v>
                </c:pt>
                <c:pt idx="51">
                  <c:v>1.4814463671436101E-2</c:v>
                </c:pt>
                <c:pt idx="52">
                  <c:v>1.4798563691786013E-2</c:v>
                </c:pt>
                <c:pt idx="53">
                  <c:v>1.4780476596159366E-2</c:v>
                </c:pt>
                <c:pt idx="54">
                  <c:v>1.4761253975402336E-2</c:v>
                </c:pt>
                <c:pt idx="55">
                  <c:v>1.4741935201245122E-2</c:v>
                </c:pt>
                <c:pt idx="56">
                  <c:v>1.4723548414983188E-2</c:v>
                </c:pt>
                <c:pt idx="57">
                  <c:v>1.4707111427950743E-2</c:v>
                </c:pt>
                <c:pt idx="58">
                  <c:v>1.4693632541905524E-2</c:v>
                </c:pt>
                <c:pt idx="59">
                  <c:v>1.4684111296745473E-2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'Application(iv)&amp;(v)'!$H$13</c:f>
              <c:strCache>
                <c:ptCount val="1"/>
                <c:pt idx="0">
                  <c:v>zero rate 3</c:v>
                </c:pt>
              </c:strCache>
            </c:strRef>
          </c:tx>
          <c:marker>
            <c:symbol val="none"/>
          </c:marker>
          <c:xVal>
            <c:numRef>
              <c:f>'Application(iv)&amp;(v)'!$A$14:$A$73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'Application(iv)&amp;(v)'!$H$14:$H$73</c:f>
              <c:numCache>
                <c:formatCode>General</c:formatCode>
                <c:ptCount val="60"/>
                <c:pt idx="0">
                  <c:v>-2.8081487792799226E-3</c:v>
                </c:pt>
                <c:pt idx="1">
                  <c:v>-2.8691366722913593E-3</c:v>
                </c:pt>
                <c:pt idx="2">
                  <c:v>-2.7495853909895555E-3</c:v>
                </c:pt>
                <c:pt idx="3">
                  <c:v>-2.4410128854059844E-3</c:v>
                </c:pt>
                <c:pt idx="4">
                  <c:v>-2.0145140844755162E-3</c:v>
                </c:pt>
                <c:pt idx="5">
                  <c:v>-1.4949727064020133E-3</c:v>
                </c:pt>
                <c:pt idx="6">
                  <c:v>-8.923026355801846E-4</c:v>
                </c:pt>
                <c:pt idx="7">
                  <c:v>-2.2899394464740273E-4</c:v>
                </c:pt>
                <c:pt idx="8">
                  <c:v>4.7493944480760943E-4</c:v>
                </c:pt>
                <c:pt idx="9">
                  <c:v>1.2059171362067784E-3</c:v>
                </c:pt>
                <c:pt idx="10">
                  <c:v>1.9541803474016949E-3</c:v>
                </c:pt>
                <c:pt idx="11">
                  <c:v>2.7091561592158362E-3</c:v>
                </c:pt>
                <c:pt idx="12">
                  <c:v>3.4620554203723289E-3</c:v>
                </c:pt>
                <c:pt idx="13">
                  <c:v>4.2063337529331061E-3</c:v>
                </c:pt>
                <c:pt idx="14">
                  <c:v>4.9368897640635675E-3</c:v>
                </c:pt>
                <c:pt idx="15">
                  <c:v>5.6488826925964308E-3</c:v>
                </c:pt>
                <c:pt idx="16">
                  <c:v>6.3381512911965792E-3</c:v>
                </c:pt>
                <c:pt idx="17">
                  <c:v>7.0012064984087199E-3</c:v>
                </c:pt>
                <c:pt idx="18">
                  <c:v>7.63503272507585E-3</c:v>
                </c:pt>
                <c:pt idx="19">
                  <c:v>8.2369358913744715E-3</c:v>
                </c:pt>
                <c:pt idx="20">
                  <c:v>8.8050367357035593E-3</c:v>
                </c:pt>
                <c:pt idx="21">
                  <c:v>9.3400100230315915E-3</c:v>
                </c:pt>
                <c:pt idx="22">
                  <c:v>9.8431941506705312E-3</c:v>
                </c:pt>
                <c:pt idx="23">
                  <c:v>1.0315935309179966E-2</c:v>
                </c:pt>
                <c:pt idx="24">
                  <c:v>1.0759553610278808E-2</c:v>
                </c:pt>
                <c:pt idx="25">
                  <c:v>1.1175319436817195E-2</c:v>
                </c:pt>
                <c:pt idx="26">
                  <c:v>1.1564437583990211E-2</c:v>
                </c:pt>
                <c:pt idx="27">
                  <c:v>1.1928037290843661E-2</c:v>
                </c:pt>
                <c:pt idx="28">
                  <c:v>1.2267166680269639E-2</c:v>
                </c:pt>
                <c:pt idx="29">
                  <c:v>1.2582790456709238E-2</c:v>
                </c:pt>
                <c:pt idx="30">
                  <c:v>1.2875789971720593E-2</c:v>
                </c:pt>
                <c:pt idx="31">
                  <c:v>1.3146964972844967E-2</c:v>
                </c:pt>
                <c:pt idx="32">
                  <c:v>1.3397036512310034E-2</c:v>
                </c:pt>
                <c:pt idx="33">
                  <c:v>1.3626650618217131E-2</c:v>
                </c:pt>
                <c:pt idx="34">
                  <c:v>1.3836382429272362E-2</c:v>
                </c:pt>
                <c:pt idx="35">
                  <c:v>1.4026740570654795E-2</c:v>
                </c:pt>
                <c:pt idx="36">
                  <c:v>1.4198171607893153E-2</c:v>
                </c:pt>
                <c:pt idx="37">
                  <c:v>1.4351064461318825E-2</c:v>
                </c:pt>
                <c:pt idx="38">
                  <c:v>1.4485754698693613E-2</c:v>
                </c:pt>
                <c:pt idx="39">
                  <c:v>1.460252865028587E-2</c:v>
                </c:pt>
                <c:pt idx="40">
                  <c:v>1.4701821081163562E-2</c:v>
                </c:pt>
                <c:pt idx="41">
                  <c:v>1.4784800170540797E-2</c:v>
                </c:pt>
                <c:pt idx="42">
                  <c:v>1.485278962602654E-2</c:v>
                </c:pt>
                <c:pt idx="43">
                  <c:v>1.4907078094246334E-2</c:v>
                </c:pt>
                <c:pt idx="44">
                  <c:v>1.4948922101939726E-2</c:v>
                </c:pt>
                <c:pt idx="45">
                  <c:v>1.4979548765599419E-2</c:v>
                </c:pt>
                <c:pt idx="46">
                  <c:v>1.5000158280674658E-2</c:v>
                </c:pt>
                <c:pt idx="47">
                  <c:v>1.501192620295742E-2</c:v>
                </c:pt>
                <c:pt idx="48">
                  <c:v>1.5016005535611901E-2</c:v>
                </c:pt>
                <c:pt idx="49">
                  <c:v>1.5013528635598685E-2</c:v>
                </c:pt>
                <c:pt idx="50">
                  <c:v>1.5005608953139845E-2</c:v>
                </c:pt>
                <c:pt idx="51">
                  <c:v>1.4993342617489532E-2</c:v>
                </c:pt>
                <c:pt idx="52">
                  <c:v>1.4977809881706213E-2</c:v>
                </c:pt>
                <c:pt idx="53">
                  <c:v>1.496007643843651E-2</c:v>
                </c:pt>
                <c:pt idx="54">
                  <c:v>1.4941194617966487E-2</c:v>
                </c:pt>
                <c:pt idx="55">
                  <c:v>1.4922204479011854E-2</c:v>
                </c:pt>
                <c:pt idx="56">
                  <c:v>1.4904134801931725E-2</c:v>
                </c:pt>
                <c:pt idx="57">
                  <c:v>1.4888003993278786E-2</c:v>
                </c:pt>
                <c:pt idx="58">
                  <c:v>1.4874820909856508E-2</c:v>
                </c:pt>
                <c:pt idx="59">
                  <c:v>1.4865585609749222E-2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'Application(iv)&amp;(v)'!$J$13</c:f>
              <c:strCache>
                <c:ptCount val="1"/>
                <c:pt idx="0">
                  <c:v>zero rate 4</c:v>
                </c:pt>
              </c:strCache>
            </c:strRef>
          </c:tx>
          <c:marker>
            <c:symbol val="none"/>
          </c:marker>
          <c:xVal>
            <c:numRef>
              <c:f>'Application(iv)&amp;(v)'!$A$14:$A$73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'Application(iv)&amp;(v)'!$J$14:$J$73</c:f>
              <c:numCache>
                <c:formatCode>General</c:formatCode>
                <c:ptCount val="60"/>
                <c:pt idx="0">
                  <c:v>-2.642165478404531E-3</c:v>
                </c:pt>
                <c:pt idx="1">
                  <c:v>-2.7436297051152362E-3</c:v>
                </c:pt>
                <c:pt idx="2">
                  <c:v>-2.6562046313715012E-3</c:v>
                </c:pt>
                <c:pt idx="3">
                  <c:v>-2.3730710117247159E-3</c:v>
                </c:pt>
                <c:pt idx="4">
                  <c:v>-1.9666598347088636E-3</c:v>
                </c:pt>
                <c:pt idx="5">
                  <c:v>-1.4629279268060201E-3</c:v>
                </c:pt>
                <c:pt idx="6">
                  <c:v>-8.726507128035216E-4</c:v>
                </c:pt>
                <c:pt idx="7">
                  <c:v>-2.1900961997655549E-4</c:v>
                </c:pt>
                <c:pt idx="8">
                  <c:v>4.7742693839962957E-4</c:v>
                </c:pt>
                <c:pt idx="9">
                  <c:v>1.2026341080424523E-3</c:v>
                </c:pt>
                <c:pt idx="10">
                  <c:v>1.9464970860289749E-3</c:v>
                </c:pt>
                <c:pt idx="11">
                  <c:v>2.6981579870620389E-3</c:v>
                </c:pt>
                <c:pt idx="12">
                  <c:v>3.44859976111178E-3</c:v>
                </c:pt>
                <c:pt idx="13">
                  <c:v>4.1910959458855944E-3</c:v>
                </c:pt>
                <c:pt idx="14">
                  <c:v>4.9203998275425907E-3</c:v>
                </c:pt>
                <c:pt idx="15">
                  <c:v>5.6315548091352471E-3</c:v>
                </c:pt>
                <c:pt idx="16">
                  <c:v>6.3203074419444279E-3</c:v>
                </c:pt>
                <c:pt idx="17">
                  <c:v>6.9830953955411831E-3</c:v>
                </c:pt>
                <c:pt idx="18">
                  <c:v>7.6168449667665568E-3</c:v>
                </c:pt>
                <c:pt idx="19">
                  <c:v>8.2188160832203285E-3</c:v>
                </c:pt>
                <c:pt idx="20">
                  <c:v>8.7870931770094585E-3</c:v>
                </c:pt>
                <c:pt idx="21">
                  <c:v>9.3223224392130037E-3</c:v>
                </c:pt>
                <c:pt idx="22">
                  <c:v>9.8258198587174266E-3</c:v>
                </c:pt>
                <c:pt idx="23">
                  <c:v>1.0298914127205204E-2</c:v>
                </c:pt>
                <c:pt idx="24">
                  <c:v>1.0742911761071741E-2</c:v>
                </c:pt>
                <c:pt idx="25">
                  <c:v>1.115907264615573E-2</c:v>
                </c:pt>
                <c:pt idx="26">
                  <c:v>1.1548593534909097E-2</c:v>
                </c:pt>
                <c:pt idx="27">
                  <c:v>1.1912597563241176E-2</c:v>
                </c:pt>
                <c:pt idx="28">
                  <c:v>1.225212827965114E-2</c:v>
                </c:pt>
                <c:pt idx="29">
                  <c:v>1.2568147015298715E-2</c:v>
                </c:pt>
                <c:pt idx="30">
                  <c:v>1.2861532688641996E-2</c:v>
                </c:pt>
                <c:pt idx="31">
                  <c:v>1.3133083346794769E-2</c:v>
                </c:pt>
                <c:pt idx="32">
                  <c:v>1.338351890947662E-2</c:v>
                </c:pt>
                <c:pt idx="33">
                  <c:v>1.3613484709639603E-2</c:v>
                </c:pt>
                <c:pt idx="34">
                  <c:v>1.3823555524959535E-2</c:v>
                </c:pt>
                <c:pt idx="35">
                  <c:v>1.4014239872273158E-2</c:v>
                </c:pt>
                <c:pt idx="36">
                  <c:v>1.418598439741345E-2</c:v>
                </c:pt>
                <c:pt idx="37">
                  <c:v>1.4339178239470141E-2</c:v>
                </c:pt>
                <c:pt idx="38">
                  <c:v>1.4474157284238478E-2</c:v>
                </c:pt>
                <c:pt idx="39">
                  <c:v>1.4591208248861096E-2</c:v>
                </c:pt>
                <c:pt idx="40">
                  <c:v>1.4690766330617449E-2</c:v>
                </c:pt>
                <c:pt idx="41">
                  <c:v>1.4774000168248098E-2</c:v>
                </c:pt>
                <c:pt idx="42">
                  <c:v>1.4842233942505955E-2</c:v>
                </c:pt>
                <c:pt idx="43">
                  <c:v>1.4896756776483215E-2</c:v>
                </c:pt>
                <c:pt idx="44">
                  <c:v>1.4938825669082396E-2</c:v>
                </c:pt>
                <c:pt idx="45">
                  <c:v>1.4969668199113778E-2</c:v>
                </c:pt>
                <c:pt idx="46">
                  <c:v>1.4990485010578194E-2</c:v>
                </c:pt>
                <c:pt idx="47">
                  <c:v>1.5002452091386479E-2</c:v>
                </c:pt>
                <c:pt idx="48">
                  <c:v>1.5006722858685595E-2</c:v>
                </c:pt>
                <c:pt idx="49">
                  <c:v>1.5004430064313632E-2</c:v>
                </c:pt>
                <c:pt idx="50">
                  <c:v>1.4996687533849608E-2</c:v>
                </c:pt>
                <c:pt idx="51">
                  <c:v>1.4984591752381203E-2</c:v>
                </c:pt>
                <c:pt idx="52">
                  <c:v>1.4969223309576061E-2</c:v>
                </c:pt>
                <c:pt idx="53">
                  <c:v>1.4951648215980617E-2</c:v>
                </c:pt>
                <c:pt idx="54">
                  <c:v>1.4932919101735768E-2</c:v>
                </c:pt>
                <c:pt idx="55">
                  <c:v>1.4914076308129669E-2</c:v>
                </c:pt>
                <c:pt idx="56">
                  <c:v>1.4896148881633238E-2</c:v>
                </c:pt>
                <c:pt idx="57">
                  <c:v>1.48801554793017E-2</c:v>
                </c:pt>
                <c:pt idx="58">
                  <c:v>1.4867105193690796E-2</c:v>
                </c:pt>
                <c:pt idx="59">
                  <c:v>1.485799830473721E-2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94720"/>
        <c:axId val="158496256"/>
      </c:scatterChart>
      <c:valAx>
        <c:axId val="15849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496256"/>
        <c:crosses val="autoZero"/>
        <c:crossBetween val="midCat"/>
      </c:valAx>
      <c:valAx>
        <c:axId val="1584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494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371475</xdr:colOff>
          <xdr:row>7</xdr:row>
          <xdr:rowOff>9525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838200</xdr:colOff>
      <xdr:row>3</xdr:row>
      <xdr:rowOff>123825</xdr:rowOff>
    </xdr:from>
    <xdr:to>
      <xdr:col>14</xdr:col>
      <xdr:colOff>561975</xdr:colOff>
      <xdr:row>17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47625</xdr:rowOff>
        </xdr:from>
        <xdr:to>
          <xdr:col>3</xdr:col>
          <xdr:colOff>133350</xdr:colOff>
          <xdr:row>7</xdr:row>
          <xdr:rowOff>38100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152400</xdr:colOff>
      <xdr:row>2</xdr:row>
      <xdr:rowOff>190500</xdr:rowOff>
    </xdr:from>
    <xdr:to>
      <xdr:col>6</xdr:col>
      <xdr:colOff>733425</xdr:colOff>
      <xdr:row>4</xdr:row>
      <xdr:rowOff>152400</xdr:rowOff>
    </xdr:to>
    <xdr:sp macro="" textlink="">
      <xdr:nvSpPr>
        <xdr:cNvPr id="2" name="Right Arrow 1"/>
        <xdr:cNvSpPr/>
      </xdr:nvSpPr>
      <xdr:spPr>
        <a:xfrm>
          <a:off x="7410450" y="590550"/>
          <a:ext cx="581025" cy="361950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400050</xdr:colOff>
      <xdr:row>6</xdr:row>
      <xdr:rowOff>9525</xdr:rowOff>
    </xdr:from>
    <xdr:to>
      <xdr:col>11</xdr:col>
      <xdr:colOff>257175</xdr:colOff>
      <xdr:row>16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0</xdr:row>
      <xdr:rowOff>123825</xdr:rowOff>
    </xdr:from>
    <xdr:to>
      <xdr:col>14</xdr:col>
      <xdr:colOff>133350</xdr:colOff>
      <xdr:row>12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21</xdr:row>
          <xdr:rowOff>57150</xdr:rowOff>
        </xdr:from>
        <xdr:to>
          <xdr:col>9</xdr:col>
          <xdr:colOff>561975</xdr:colOff>
          <xdr:row>34</xdr:row>
          <xdr:rowOff>57150</xdr:rowOff>
        </xdr:to>
        <xdr:sp macro="" textlink="">
          <xdr:nvSpPr>
            <xdr:cNvPr id="8196" name="Object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EEAC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wmf"/><Relationship Id="rId4" Type="http://schemas.openxmlformats.org/officeDocument/2006/relationships/oleObject" Target="../embeddings/oleObject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1"/>
  <sheetViews>
    <sheetView workbookViewId="0">
      <selection activeCell="C12" sqref="C12"/>
    </sheetView>
  </sheetViews>
  <sheetFormatPr defaultRowHeight="15.75" x14ac:dyDescent="0.25"/>
  <sheetData>
    <row r="1" spans="2:3" x14ac:dyDescent="0.25">
      <c r="B1" t="s">
        <v>148</v>
      </c>
    </row>
    <row r="2" spans="2:3" x14ac:dyDescent="0.25">
      <c r="B2" t="s">
        <v>149</v>
      </c>
    </row>
    <row r="3" spans="2:3" x14ac:dyDescent="0.25">
      <c r="C3" s="125" t="s">
        <v>150</v>
      </c>
    </row>
    <row r="4" spans="2:3" x14ac:dyDescent="0.25">
      <c r="C4" s="125" t="s">
        <v>151</v>
      </c>
    </row>
    <row r="5" spans="2:3" x14ac:dyDescent="0.25">
      <c r="C5" s="125" t="s">
        <v>152</v>
      </c>
    </row>
    <row r="6" spans="2:3" x14ac:dyDescent="0.25">
      <c r="C6" s="125" t="s">
        <v>153</v>
      </c>
    </row>
    <row r="7" spans="2:3" x14ac:dyDescent="0.25">
      <c r="C7" s="125" t="s">
        <v>154</v>
      </c>
    </row>
    <row r="9" spans="2:3" x14ac:dyDescent="0.25">
      <c r="B9" t="s">
        <v>155</v>
      </c>
    </row>
    <row r="10" spans="2:3" x14ac:dyDescent="0.25">
      <c r="C10" t="s">
        <v>156</v>
      </c>
    </row>
    <row r="11" spans="2:3" x14ac:dyDescent="0.25">
      <c r="C11" t="s">
        <v>157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9"/>
  <sheetViews>
    <sheetView workbookViewId="0">
      <selection activeCell="B6" sqref="B6"/>
    </sheetView>
  </sheetViews>
  <sheetFormatPr defaultColWidth="11" defaultRowHeight="15.75" x14ac:dyDescent="0.25"/>
  <cols>
    <col min="4" max="4" width="18.625" customWidth="1"/>
    <col min="5" max="5" width="17.625" customWidth="1"/>
    <col min="6" max="6" width="16.375" customWidth="1"/>
    <col min="7" max="7" width="13.125" customWidth="1"/>
    <col min="8" max="8" width="12.125" customWidth="1"/>
  </cols>
  <sheetData>
    <row r="1" spans="1:14" ht="26.25" x14ac:dyDescent="0.4">
      <c r="A1" s="54" t="s">
        <v>25</v>
      </c>
      <c r="B1" s="55"/>
    </row>
    <row r="2" spans="1:14" ht="18.75" x14ac:dyDescent="0.3">
      <c r="A2" s="1"/>
      <c r="B2" s="29" t="s">
        <v>0</v>
      </c>
      <c r="C2" s="29" t="s">
        <v>52</v>
      </c>
      <c r="D2" s="29"/>
      <c r="E2" s="29"/>
      <c r="F2" s="29"/>
      <c r="G2" s="29"/>
      <c r="H2" s="29"/>
      <c r="I2" s="52"/>
      <c r="J2" s="52"/>
      <c r="K2" s="52"/>
      <c r="L2" s="52"/>
    </row>
    <row r="3" spans="1:14" ht="18.75" x14ac:dyDescent="0.3">
      <c r="A3" s="1"/>
      <c r="B3" s="2"/>
      <c r="C3" s="2"/>
      <c r="D3" s="2"/>
      <c r="E3" s="2"/>
      <c r="F3" s="2"/>
      <c r="G3" s="2"/>
      <c r="H3" s="2"/>
    </row>
    <row r="4" spans="1:14" ht="18.75" x14ac:dyDescent="0.3">
      <c r="A4" s="1"/>
      <c r="B4" s="2"/>
      <c r="C4" s="3" t="s">
        <v>10</v>
      </c>
      <c r="D4" s="3"/>
      <c r="E4" s="2"/>
      <c r="F4" s="2"/>
      <c r="G4" s="2"/>
      <c r="H4" s="2"/>
    </row>
    <row r="5" spans="1:14" ht="19.5" thickBot="1" x14ac:dyDescent="0.35">
      <c r="A5" s="1"/>
      <c r="B5" s="1"/>
      <c r="C5" s="1"/>
      <c r="D5" s="1"/>
      <c r="E5" s="1"/>
      <c r="F5" s="1"/>
      <c r="G5" s="1"/>
      <c r="H5" s="1"/>
    </row>
    <row r="6" spans="1:14" ht="18.75" x14ac:dyDescent="0.3">
      <c r="A6" s="1"/>
      <c r="B6" s="1"/>
      <c r="C6" s="32" t="s">
        <v>1</v>
      </c>
      <c r="D6" s="33" t="s">
        <v>11</v>
      </c>
      <c r="E6" s="33" t="s">
        <v>2</v>
      </c>
      <c r="F6" s="34" t="s">
        <v>3</v>
      </c>
      <c r="G6" s="1"/>
      <c r="H6" s="1"/>
    </row>
    <row r="7" spans="1:14" ht="18.75" x14ac:dyDescent="0.3">
      <c r="A7" s="1"/>
      <c r="B7" s="1"/>
      <c r="C7" s="35" t="s">
        <v>4</v>
      </c>
      <c r="D7" s="36">
        <f>1/365</f>
        <v>2.7397260273972603E-3</v>
      </c>
      <c r="E7" s="37">
        <v>99.999499999999998</v>
      </c>
      <c r="F7" s="38">
        <f t="shared" ref="F7:F12" si="0">-(LN(E7/100)/D7)</f>
        <v>1.8250045625271645E-3</v>
      </c>
      <c r="G7" s="1"/>
      <c r="H7" s="1"/>
    </row>
    <row r="8" spans="1:14" ht="18.75" x14ac:dyDescent="0.3">
      <c r="A8" s="1"/>
      <c r="B8" s="1"/>
      <c r="C8" s="35" t="s">
        <v>5</v>
      </c>
      <c r="D8" s="36">
        <f>1/52</f>
        <v>1.9230769230769232E-2</v>
      </c>
      <c r="E8" s="37">
        <v>99.994</v>
      </c>
      <c r="F8" s="38">
        <f t="shared" si="0"/>
        <v>3.1200936037415155E-3</v>
      </c>
      <c r="G8" s="1"/>
      <c r="H8" s="1"/>
    </row>
    <row r="9" spans="1:14" ht="18.75" x14ac:dyDescent="0.3">
      <c r="A9" s="1"/>
      <c r="B9" s="1"/>
      <c r="C9" s="35" t="s">
        <v>6</v>
      </c>
      <c r="D9" s="36">
        <f>1/12</f>
        <v>8.3333333333333329E-2</v>
      </c>
      <c r="E9" s="37">
        <v>99.971000000000004</v>
      </c>
      <c r="F9" s="38">
        <f t="shared" si="0"/>
        <v>3.4805046975773732E-3</v>
      </c>
      <c r="G9" s="1"/>
      <c r="H9" s="1"/>
    </row>
    <row r="10" spans="1:14" ht="18.75" x14ac:dyDescent="0.3">
      <c r="A10" s="1"/>
      <c r="B10" s="1"/>
      <c r="C10" s="35" t="s">
        <v>7</v>
      </c>
      <c r="D10" s="36">
        <f>3/12</f>
        <v>0.25</v>
      </c>
      <c r="E10" s="37">
        <v>99.9</v>
      </c>
      <c r="F10" s="38">
        <f>-(LN(E10/100)/D10)</f>
        <v>4.0020013343336934E-3</v>
      </c>
      <c r="G10" s="1"/>
      <c r="H10" s="1"/>
    </row>
    <row r="11" spans="1:14" ht="18.75" x14ac:dyDescent="0.3">
      <c r="A11" s="1"/>
      <c r="B11" s="1"/>
      <c r="C11" s="35" t="s">
        <v>8</v>
      </c>
      <c r="D11" s="36">
        <f>6/12</f>
        <v>0.5</v>
      </c>
      <c r="E11" s="37">
        <v>99.65</v>
      </c>
      <c r="F11" s="38">
        <f t="shared" si="0"/>
        <v>7.0122786585751799E-3</v>
      </c>
      <c r="G11" s="1"/>
      <c r="H11" s="1"/>
    </row>
    <row r="12" spans="1:14" ht="19.5" thickBot="1" x14ac:dyDescent="0.35">
      <c r="A12" s="1"/>
      <c r="B12" s="1"/>
      <c r="C12" s="39" t="s">
        <v>9</v>
      </c>
      <c r="D12" s="40">
        <f>1</f>
        <v>1</v>
      </c>
      <c r="E12" s="41">
        <v>99.05</v>
      </c>
      <c r="F12" s="42">
        <f t="shared" si="0"/>
        <v>9.545412843531496E-3</v>
      </c>
      <c r="G12" s="1"/>
      <c r="H12" s="1"/>
    </row>
    <row r="13" spans="1:14" ht="18.75" x14ac:dyDescent="0.3">
      <c r="A13" s="1"/>
      <c r="B13" s="1"/>
      <c r="C13" s="1"/>
      <c r="D13" s="1"/>
      <c r="E13" s="1"/>
      <c r="F13" s="1"/>
      <c r="G13" s="1"/>
      <c r="H13" s="1"/>
    </row>
    <row r="14" spans="1:14" ht="18.75" x14ac:dyDescent="0.3">
      <c r="A14" s="1"/>
      <c r="B14" s="29" t="s">
        <v>12</v>
      </c>
      <c r="C14" s="29" t="s">
        <v>53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4" ht="18.75" x14ac:dyDescent="0.3">
      <c r="A15" s="1"/>
      <c r="B15" s="1"/>
      <c r="C15" s="1"/>
      <c r="D15" s="1"/>
      <c r="E15" s="1"/>
      <c r="F15" s="1"/>
      <c r="G15" s="1"/>
      <c r="H15" s="1"/>
    </row>
    <row r="16" spans="1:14" ht="18.75" x14ac:dyDescent="0.3">
      <c r="A16" s="1"/>
      <c r="B16" s="1"/>
      <c r="C16" s="3" t="s">
        <v>21</v>
      </c>
      <c r="D16" s="3"/>
      <c r="E16" s="3"/>
      <c r="F16" s="75"/>
      <c r="G16" s="1"/>
      <c r="H16" s="1"/>
    </row>
    <row r="17" spans="1:10" ht="19.5" thickBot="1" x14ac:dyDescent="0.35">
      <c r="A17" s="1"/>
      <c r="B17" s="1"/>
      <c r="C17" s="1"/>
      <c r="D17" s="1"/>
      <c r="E17" s="1"/>
      <c r="F17" s="1"/>
      <c r="G17" s="1"/>
      <c r="H17" s="1"/>
    </row>
    <row r="18" spans="1:10" ht="18.75" x14ac:dyDescent="0.3">
      <c r="A18" s="1"/>
      <c r="C18" s="1"/>
      <c r="D18" s="32" t="s">
        <v>11</v>
      </c>
      <c r="E18" s="33" t="s">
        <v>3</v>
      </c>
      <c r="F18" s="34" t="s">
        <v>13</v>
      </c>
      <c r="G18" s="1"/>
      <c r="H18" s="1"/>
    </row>
    <row r="19" spans="1:10" ht="18.75" x14ac:dyDescent="0.3">
      <c r="A19" s="1"/>
      <c r="C19" s="71" t="s">
        <v>15</v>
      </c>
      <c r="D19" s="43">
        <f>1/365</f>
        <v>2.7397260273972603E-3</v>
      </c>
      <c r="E19" s="44">
        <v>1.8250045625271645E-3</v>
      </c>
      <c r="F19" s="38">
        <f>(E20*D20-E19*D19)/(D20-D19)</f>
        <v>3.3352521664991711E-3</v>
      </c>
      <c r="G19" s="45"/>
      <c r="H19" s="1"/>
    </row>
    <row r="20" spans="1:10" ht="18.75" x14ac:dyDescent="0.3">
      <c r="A20" s="1"/>
      <c r="C20" s="71" t="s">
        <v>16</v>
      </c>
      <c r="D20" s="43">
        <f>1/52</f>
        <v>1.9230769230769232E-2</v>
      </c>
      <c r="E20" s="44">
        <v>3.1200936037415155E-3</v>
      </c>
      <c r="F20" s="38">
        <f t="shared" ref="F20:F23" si="1">(E21*D21-E20*D20)/(D21-D20)</f>
        <v>3.5886280257281305E-3</v>
      </c>
      <c r="G20" s="1"/>
      <c r="H20" s="1"/>
    </row>
    <row r="21" spans="1:10" ht="18.75" x14ac:dyDescent="0.3">
      <c r="A21" s="1"/>
      <c r="C21" s="71" t="s">
        <v>17</v>
      </c>
      <c r="D21" s="43">
        <f>1/12</f>
        <v>8.3333333333333329E-2</v>
      </c>
      <c r="E21" s="44">
        <v>3.4805046975773732E-3</v>
      </c>
      <c r="F21" s="38">
        <f t="shared" si="1"/>
        <v>4.262749652711853E-3</v>
      </c>
      <c r="G21" s="1"/>
      <c r="H21" s="1"/>
    </row>
    <row r="22" spans="1:10" ht="18.75" x14ac:dyDescent="0.3">
      <c r="A22" s="1"/>
      <c r="C22" s="71" t="s">
        <v>18</v>
      </c>
      <c r="D22" s="43">
        <f>3/12</f>
        <v>0.25</v>
      </c>
      <c r="E22" s="44">
        <v>4.0020013343336934E-3</v>
      </c>
      <c r="F22" s="38">
        <f t="shared" si="1"/>
        <v>1.0022555982816667E-2</v>
      </c>
      <c r="G22" s="1"/>
      <c r="H22" s="1"/>
    </row>
    <row r="23" spans="1:10" ht="18.75" x14ac:dyDescent="0.3">
      <c r="A23" s="1"/>
      <c r="C23" s="71" t="s">
        <v>19</v>
      </c>
      <c r="D23" s="43">
        <f>6/12</f>
        <v>0.5</v>
      </c>
      <c r="E23" s="44">
        <v>7.0122786585751799E-3</v>
      </c>
      <c r="F23" s="38">
        <f t="shared" si="1"/>
        <v>1.2078547028487811E-2</v>
      </c>
      <c r="G23" s="1"/>
      <c r="H23" s="1"/>
    </row>
    <row r="24" spans="1:10" ht="19.5" thickBot="1" x14ac:dyDescent="0.35">
      <c r="A24" s="1"/>
      <c r="C24" s="71" t="s">
        <v>20</v>
      </c>
      <c r="D24" s="46">
        <f>1</f>
        <v>1</v>
      </c>
      <c r="E24" s="47">
        <v>9.545412843531496E-3</v>
      </c>
      <c r="F24" s="72"/>
      <c r="G24" s="1"/>
      <c r="H24" s="1"/>
    </row>
    <row r="25" spans="1:10" ht="18.75" x14ac:dyDescent="0.3">
      <c r="A25" s="1"/>
      <c r="B25" s="1"/>
      <c r="C25" s="1"/>
      <c r="D25" s="1"/>
      <c r="E25" s="1"/>
      <c r="F25" s="1"/>
      <c r="G25" s="1"/>
      <c r="H25" s="1"/>
    </row>
    <row r="26" spans="1:10" ht="18.75" x14ac:dyDescent="0.3">
      <c r="A26" s="1"/>
      <c r="B26" s="29" t="s">
        <v>14</v>
      </c>
      <c r="C26" s="29" t="s">
        <v>54</v>
      </c>
      <c r="D26" s="30"/>
      <c r="E26" s="30"/>
      <c r="F26" s="30"/>
      <c r="G26" s="30"/>
      <c r="H26" s="30"/>
      <c r="I26" s="52"/>
      <c r="J26" s="52"/>
    </row>
    <row r="27" spans="1:10" ht="19.5" thickBot="1" x14ac:dyDescent="0.35">
      <c r="A27" s="1"/>
      <c r="B27" s="1"/>
      <c r="C27" s="1"/>
      <c r="D27" s="1"/>
      <c r="E27" s="1"/>
      <c r="F27" s="1"/>
      <c r="G27" s="1"/>
      <c r="H27" s="1"/>
    </row>
    <row r="28" spans="1:10" ht="18.75" x14ac:dyDescent="0.3">
      <c r="A28" s="1"/>
      <c r="B28" s="1"/>
      <c r="C28" s="32" t="s">
        <v>11</v>
      </c>
      <c r="D28" s="33" t="s">
        <v>3</v>
      </c>
      <c r="E28" s="33" t="s">
        <v>13</v>
      </c>
      <c r="F28" s="53" t="s">
        <v>56</v>
      </c>
      <c r="G28" s="1"/>
      <c r="H28" s="1"/>
    </row>
    <row r="29" spans="1:10" ht="18.75" x14ac:dyDescent="0.3">
      <c r="A29" s="1"/>
      <c r="B29" s="1"/>
      <c r="C29" s="35">
        <v>0</v>
      </c>
      <c r="D29" s="37">
        <v>0</v>
      </c>
      <c r="E29" s="44">
        <f>D30</f>
        <v>1.8250045625271645E-3</v>
      </c>
      <c r="F29" s="73">
        <f>C30</f>
        <v>2.7397260273972603E-3</v>
      </c>
      <c r="G29" s="48">
        <f>E29*F29</f>
        <v>5.0000125000744233E-6</v>
      </c>
      <c r="H29" s="1"/>
    </row>
    <row r="30" spans="1:10" ht="18.75" x14ac:dyDescent="0.3">
      <c r="A30" s="1"/>
      <c r="B30" s="1"/>
      <c r="C30" s="43">
        <f>1/365</f>
        <v>2.7397260273972603E-3</v>
      </c>
      <c r="D30" s="44">
        <v>1.8250045625271645E-3</v>
      </c>
      <c r="E30" s="49">
        <f>(D31*C31-D30*C30)/(C31-C30)</f>
        <v>3.3352521664991711E-3</v>
      </c>
      <c r="F30" s="73">
        <f>C31-C30</f>
        <v>1.6491043203371972E-2</v>
      </c>
      <c r="G30" s="48">
        <f t="shared" ref="G30:G34" si="2">E30*F30</f>
        <v>5.5001787571877801E-5</v>
      </c>
      <c r="H30" s="1"/>
    </row>
    <row r="31" spans="1:10" ht="18.75" x14ac:dyDescent="0.3">
      <c r="A31" s="1"/>
      <c r="B31" s="1"/>
      <c r="C31" s="43">
        <f>1/52</f>
        <v>1.9230769230769232E-2</v>
      </c>
      <c r="D31" s="44">
        <v>3.1200936037415155E-3</v>
      </c>
      <c r="E31" s="49">
        <f>(D32*C32-D31*C31)/(C32-C31)</f>
        <v>3.5886280257281305E-3</v>
      </c>
      <c r="F31" s="73">
        <f>C32-C31</f>
        <v>6.4102564102564097E-2</v>
      </c>
      <c r="G31" s="48">
        <f t="shared" si="2"/>
        <v>2.3004025805949553E-4</v>
      </c>
      <c r="H31" s="1"/>
    </row>
    <row r="32" spans="1:10" ht="18.75" x14ac:dyDescent="0.3">
      <c r="A32" s="1"/>
      <c r="B32" s="1"/>
      <c r="C32" s="43">
        <f>1/12</f>
        <v>8.3333333333333329E-2</v>
      </c>
      <c r="D32" s="44">
        <v>3.4805046975773732E-3</v>
      </c>
      <c r="E32" s="49">
        <f>(D33*C33-D32*C32)/(C33-C32)</f>
        <v>4.7629998195035644E-3</v>
      </c>
      <c r="F32" s="73">
        <f>C33-C32</f>
        <v>0.16666666666666669</v>
      </c>
      <c r="G32" s="48">
        <f t="shared" si="2"/>
        <v>7.938333032505941E-4</v>
      </c>
      <c r="H32" s="1"/>
    </row>
    <row r="33" spans="1:8" ht="18.75" x14ac:dyDescent="0.3">
      <c r="A33" s="1"/>
      <c r="B33" s="1"/>
      <c r="C33" s="43">
        <f>3/12</f>
        <v>0.25</v>
      </c>
      <c r="D33" s="44">
        <v>4.3355014455281676E-3</v>
      </c>
      <c r="E33" s="49">
        <f>(D34*C34-D33*C33)/(C34-C33)</f>
        <v>9.6890558716221931E-3</v>
      </c>
      <c r="F33" s="73">
        <f>C34-C33</f>
        <v>0.25</v>
      </c>
      <c r="G33" s="48">
        <f t="shared" si="2"/>
        <v>2.4222639679055483E-3</v>
      </c>
      <c r="H33" s="1"/>
    </row>
    <row r="34" spans="1:8" ht="18.75" x14ac:dyDescent="0.3">
      <c r="A34" s="1"/>
      <c r="B34" s="1"/>
      <c r="C34" s="43">
        <f>6/12</f>
        <v>0.5</v>
      </c>
      <c r="D34" s="44">
        <v>7.0122786585751799E-3</v>
      </c>
      <c r="E34" s="49">
        <f>(D35*C35-D34*C34)/(C35-C34)</f>
        <v>1.2078547028487811E-2</v>
      </c>
      <c r="F34" s="73">
        <f>C35-C34</f>
        <v>0.5</v>
      </c>
      <c r="G34" s="48">
        <f t="shared" si="2"/>
        <v>6.0392735142439057E-3</v>
      </c>
      <c r="H34" s="1"/>
    </row>
    <row r="35" spans="1:8" ht="19.5" thickBot="1" x14ac:dyDescent="0.35">
      <c r="A35" s="1"/>
      <c r="B35" s="1"/>
      <c r="C35" s="46">
        <f>1</f>
        <v>1</v>
      </c>
      <c r="D35" s="47">
        <v>9.545412843531496E-3</v>
      </c>
      <c r="E35" s="50"/>
      <c r="F35" s="51"/>
      <c r="G35" s="1"/>
      <c r="H35" s="1"/>
    </row>
    <row r="36" spans="1:8" ht="18.75" x14ac:dyDescent="0.3">
      <c r="A36" s="1"/>
      <c r="B36" s="1"/>
      <c r="C36" s="1"/>
      <c r="D36" s="1"/>
      <c r="E36" s="1"/>
      <c r="F36" s="1"/>
      <c r="G36" s="1"/>
      <c r="H36" s="1"/>
    </row>
    <row r="37" spans="1:8" ht="18.75" x14ac:dyDescent="0.3">
      <c r="A37" s="1"/>
      <c r="B37" s="3" t="s">
        <v>55</v>
      </c>
      <c r="C37" s="4"/>
      <c r="D37" s="3"/>
      <c r="E37" s="3"/>
      <c r="F37" s="3"/>
      <c r="G37" s="74">
        <f>SUM(G29:G34)</f>
        <v>9.545412843531496E-3</v>
      </c>
      <c r="H37" s="1"/>
    </row>
    <row r="38" spans="1:8" ht="18.75" x14ac:dyDescent="0.3">
      <c r="A38" s="1"/>
      <c r="B38" s="1"/>
      <c r="C38" s="1"/>
      <c r="D38" s="1"/>
      <c r="E38" s="1"/>
      <c r="F38" s="1"/>
      <c r="G38" s="1"/>
      <c r="H38" s="1"/>
    </row>
    <row r="39" spans="1:8" ht="18.75" x14ac:dyDescent="0.3">
      <c r="A39" s="1"/>
      <c r="B39" s="1"/>
      <c r="C39" s="1"/>
      <c r="D39" s="1"/>
      <c r="E39" s="1"/>
      <c r="F39" s="1"/>
      <c r="G39" s="1"/>
      <c r="H39" s="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1"/>
  <sheetViews>
    <sheetView workbookViewId="0">
      <selection activeCell="E48" sqref="E48"/>
    </sheetView>
  </sheetViews>
  <sheetFormatPr defaultColWidth="11" defaultRowHeight="15.75" x14ac:dyDescent="0.25"/>
  <cols>
    <col min="3" max="3" width="15.875" customWidth="1"/>
    <col min="4" max="4" width="15.625" customWidth="1"/>
    <col min="5" max="5" width="18.375" customWidth="1"/>
    <col min="6" max="6" width="14.375" bestFit="1" customWidth="1"/>
    <col min="7" max="7" width="13.125" customWidth="1"/>
    <col min="8" max="8" width="13.5" customWidth="1"/>
  </cols>
  <sheetData>
    <row r="1" spans="1:9" ht="26.25" x14ac:dyDescent="0.4">
      <c r="A1" s="54" t="s">
        <v>26</v>
      </c>
      <c r="B1" s="55"/>
    </row>
    <row r="2" spans="1:9" ht="18.75" x14ac:dyDescent="0.3">
      <c r="A2" s="1"/>
      <c r="B2" s="29" t="s">
        <v>0</v>
      </c>
      <c r="C2" s="29" t="s">
        <v>22</v>
      </c>
      <c r="D2" s="30"/>
      <c r="E2" s="30"/>
      <c r="F2" s="30"/>
      <c r="G2" s="30"/>
      <c r="H2" s="1"/>
      <c r="I2" s="1"/>
    </row>
    <row r="3" spans="1:9" ht="18.75" x14ac:dyDescent="0.3">
      <c r="A3" s="1"/>
      <c r="B3" s="2"/>
      <c r="C3" s="2"/>
      <c r="D3" s="1"/>
      <c r="E3" s="1"/>
      <c r="F3" s="1"/>
      <c r="G3" s="1"/>
      <c r="H3" s="1"/>
      <c r="I3" s="1"/>
    </row>
    <row r="4" spans="1:9" ht="18.75" x14ac:dyDescent="0.3">
      <c r="A4" s="1"/>
      <c r="B4" s="2"/>
      <c r="C4" s="3" t="s">
        <v>39</v>
      </c>
      <c r="D4" s="4"/>
      <c r="E4" s="4"/>
      <c r="F4" s="1"/>
      <c r="G4" s="1"/>
      <c r="H4" s="1"/>
      <c r="I4" s="1"/>
    </row>
    <row r="5" spans="1:9" ht="19.5" thickBot="1" x14ac:dyDescent="0.35">
      <c r="A5" s="1"/>
      <c r="B5" s="1"/>
      <c r="C5" s="1"/>
      <c r="D5" s="1"/>
      <c r="E5" s="1"/>
      <c r="F5" s="1"/>
      <c r="G5" s="1"/>
      <c r="H5" s="1"/>
      <c r="I5" s="1"/>
    </row>
    <row r="6" spans="1:9" ht="37.5" x14ac:dyDescent="0.3">
      <c r="A6" s="1"/>
      <c r="B6" s="1"/>
      <c r="C6" s="5" t="s">
        <v>23</v>
      </c>
      <c r="D6" s="6" t="s">
        <v>37</v>
      </c>
      <c r="E6" s="6" t="s">
        <v>38</v>
      </c>
      <c r="F6" s="7" t="s">
        <v>40</v>
      </c>
      <c r="G6" s="1"/>
      <c r="H6" s="1"/>
      <c r="I6" s="1"/>
    </row>
    <row r="7" spans="1:9" ht="18.75" x14ac:dyDescent="0.3">
      <c r="A7" s="1"/>
      <c r="B7" s="1"/>
      <c r="C7" s="8" t="s">
        <v>24</v>
      </c>
      <c r="D7" s="9">
        <v>2.7397260273972603E-3</v>
      </c>
      <c r="E7" s="10">
        <v>0.128</v>
      </c>
      <c r="F7" s="11">
        <f>1/(1+E7/100*D7)</f>
        <v>0.99999649316298278</v>
      </c>
      <c r="G7" s="1"/>
      <c r="H7" s="1"/>
      <c r="I7" s="1"/>
    </row>
    <row r="8" spans="1:9" ht="18.75" x14ac:dyDescent="0.3">
      <c r="A8" s="1"/>
      <c r="B8" s="1"/>
      <c r="C8" s="8" t="s">
        <v>5</v>
      </c>
      <c r="D8" s="9">
        <f>1/52</f>
        <v>1.9230769230769232E-2</v>
      </c>
      <c r="E8" s="10">
        <v>0.16270000000000001</v>
      </c>
      <c r="F8" s="11">
        <f t="shared" ref="F8:F21" si="0">1/(1+E8/100*D8)</f>
        <v>0.99996871251739861</v>
      </c>
      <c r="G8" s="1"/>
      <c r="H8" s="1"/>
      <c r="I8" s="1"/>
    </row>
    <row r="9" spans="1:9" ht="18.75" x14ac:dyDescent="0.3">
      <c r="A9" s="1"/>
      <c r="B9" s="1"/>
      <c r="C9" s="8" t="s">
        <v>27</v>
      </c>
      <c r="D9" s="9">
        <f>2/52</f>
        <v>3.8461538461538464E-2</v>
      </c>
      <c r="E9" s="10">
        <v>0.17169999999999999</v>
      </c>
      <c r="F9" s="11">
        <f t="shared" si="0"/>
        <v>0.99993396589925188</v>
      </c>
      <c r="G9" s="1"/>
      <c r="H9" s="1"/>
      <c r="I9" s="1"/>
    </row>
    <row r="10" spans="1:9" ht="18.75" x14ac:dyDescent="0.3">
      <c r="A10" s="1"/>
      <c r="B10" s="1"/>
      <c r="C10" s="8" t="s">
        <v>6</v>
      </c>
      <c r="D10" s="9">
        <f>1/12</f>
        <v>8.3333333333333329E-2</v>
      </c>
      <c r="E10" s="10">
        <v>0.19042999999999999</v>
      </c>
      <c r="F10" s="11">
        <f t="shared" si="0"/>
        <v>0.99984133351238269</v>
      </c>
      <c r="G10" s="1"/>
      <c r="H10" s="1"/>
      <c r="I10" s="1"/>
    </row>
    <row r="11" spans="1:9" ht="18.75" x14ac:dyDescent="0.3">
      <c r="A11" s="1"/>
      <c r="B11" s="1"/>
      <c r="C11" s="8" t="s">
        <v>28</v>
      </c>
      <c r="D11" s="9">
        <f>2/12</f>
        <v>0.16666666666666666</v>
      </c>
      <c r="E11" s="10">
        <v>0.22413</v>
      </c>
      <c r="F11" s="11">
        <f t="shared" si="0"/>
        <v>0.99962658948749705</v>
      </c>
      <c r="G11" s="1"/>
      <c r="H11" s="1"/>
      <c r="I11" s="1"/>
    </row>
    <row r="12" spans="1:9" ht="18.75" x14ac:dyDescent="0.3">
      <c r="A12" s="1"/>
      <c r="B12" s="1"/>
      <c r="C12" s="8" t="s">
        <v>7</v>
      </c>
      <c r="D12" s="9">
        <f>3/12</f>
        <v>0.25</v>
      </c>
      <c r="E12" s="10">
        <v>0.25287999999999999</v>
      </c>
      <c r="F12" s="11">
        <f t="shared" si="0"/>
        <v>0.99936819942432387</v>
      </c>
      <c r="G12" s="1"/>
      <c r="H12" s="1"/>
      <c r="I12" s="1"/>
    </row>
    <row r="13" spans="1:9" ht="18.75" x14ac:dyDescent="0.3">
      <c r="A13" s="1"/>
      <c r="B13" s="1"/>
      <c r="C13" s="8" t="s">
        <v>29</v>
      </c>
      <c r="D13" s="9">
        <f>4/12</f>
        <v>0.33333333333333331</v>
      </c>
      <c r="E13" s="10">
        <v>0.29463</v>
      </c>
      <c r="F13" s="11">
        <f t="shared" si="0"/>
        <v>0.99901886357408376</v>
      </c>
      <c r="G13" s="1"/>
      <c r="H13" s="1"/>
      <c r="I13" s="1"/>
    </row>
    <row r="14" spans="1:9" ht="18.75" x14ac:dyDescent="0.3">
      <c r="A14" s="1"/>
      <c r="B14" s="1"/>
      <c r="C14" s="8" t="s">
        <v>30</v>
      </c>
      <c r="D14" s="9">
        <f>5/12</f>
        <v>0.41666666666666669</v>
      </c>
      <c r="E14" s="10">
        <v>0.35013</v>
      </c>
      <c r="F14" s="11">
        <f t="shared" si="0"/>
        <v>0.99854325021584145</v>
      </c>
      <c r="G14" s="1"/>
      <c r="H14" s="1"/>
      <c r="I14" s="1"/>
    </row>
    <row r="15" spans="1:9" ht="18.75" x14ac:dyDescent="0.3">
      <c r="A15" s="1"/>
      <c r="B15" s="1"/>
      <c r="C15" s="8" t="s">
        <v>8</v>
      </c>
      <c r="D15" s="9">
        <f>6/12</f>
        <v>0.5</v>
      </c>
      <c r="E15" s="10">
        <v>0.40312999999999999</v>
      </c>
      <c r="F15" s="11">
        <f t="shared" si="0"/>
        <v>0.99798840467212269</v>
      </c>
      <c r="G15" s="1"/>
      <c r="H15" s="1"/>
      <c r="I15" s="1"/>
    </row>
    <row r="16" spans="1:9" ht="18.75" x14ac:dyDescent="0.3">
      <c r="A16" s="1"/>
      <c r="B16" s="1"/>
      <c r="C16" s="8" t="s">
        <v>31</v>
      </c>
      <c r="D16" s="9">
        <f>7/12</f>
        <v>0.58333333333333337</v>
      </c>
      <c r="E16" s="10">
        <v>0.45912999999999998</v>
      </c>
      <c r="F16" s="11">
        <f t="shared" si="0"/>
        <v>0.99732889557435389</v>
      </c>
      <c r="G16" s="1"/>
      <c r="H16" s="1"/>
      <c r="I16" s="1"/>
    </row>
    <row r="17" spans="1:11" ht="18.75" x14ac:dyDescent="0.3">
      <c r="A17" s="1"/>
      <c r="B17" s="1"/>
      <c r="C17" s="8" t="s">
        <v>32</v>
      </c>
      <c r="D17" s="9">
        <f>8/12</f>
        <v>0.66666666666666663</v>
      </c>
      <c r="E17" s="10">
        <v>0.51288</v>
      </c>
      <c r="F17" s="11">
        <f t="shared" si="0"/>
        <v>0.99659245109122896</v>
      </c>
      <c r="G17" s="1"/>
      <c r="H17" s="1"/>
      <c r="I17" s="1"/>
    </row>
    <row r="18" spans="1:11" ht="18.75" x14ac:dyDescent="0.3">
      <c r="A18" s="1"/>
      <c r="B18" s="1"/>
      <c r="C18" s="8" t="s">
        <v>33</v>
      </c>
      <c r="D18" s="9">
        <f>9/12</f>
        <v>0.75</v>
      </c>
      <c r="E18" s="10">
        <v>0.56462999999999997</v>
      </c>
      <c r="F18" s="11">
        <f t="shared" si="0"/>
        <v>0.9957831322751759</v>
      </c>
      <c r="G18" s="1"/>
      <c r="H18" s="1"/>
      <c r="I18" s="1"/>
    </row>
    <row r="19" spans="1:11" ht="18.75" x14ac:dyDescent="0.3">
      <c r="A19" s="1"/>
      <c r="B19" s="1"/>
      <c r="C19" s="8" t="s">
        <v>34</v>
      </c>
      <c r="D19" s="9">
        <f>10/12</f>
        <v>0.83333333333333337</v>
      </c>
      <c r="E19" s="10">
        <v>0.61912999999999996</v>
      </c>
      <c r="F19" s="11">
        <f t="shared" si="0"/>
        <v>0.99486706627713206</v>
      </c>
      <c r="G19" s="1"/>
      <c r="H19" s="1"/>
      <c r="I19" s="1"/>
    </row>
    <row r="20" spans="1:11" ht="18.75" x14ac:dyDescent="0.3">
      <c r="A20" s="1"/>
      <c r="B20" s="1"/>
      <c r="C20" s="8" t="s">
        <v>35</v>
      </c>
      <c r="D20" s="9">
        <f>11/12</f>
        <v>0.91666666666666663</v>
      </c>
      <c r="E20" s="10">
        <v>0.67125000000000001</v>
      </c>
      <c r="F20" s="11">
        <f t="shared" si="0"/>
        <v>0.9938845044088096</v>
      </c>
      <c r="G20" s="1"/>
      <c r="H20" s="1"/>
      <c r="I20" s="1"/>
    </row>
    <row r="21" spans="1:11" ht="19.5" thickBot="1" x14ac:dyDescent="0.35">
      <c r="A21" s="1"/>
      <c r="B21" s="1"/>
      <c r="C21" s="12" t="s">
        <v>36</v>
      </c>
      <c r="D21" s="13">
        <v>1</v>
      </c>
      <c r="E21" s="14">
        <v>0.72950000000000004</v>
      </c>
      <c r="F21" s="15">
        <f t="shared" si="0"/>
        <v>0.99275783161834408</v>
      </c>
      <c r="G21" s="1"/>
      <c r="H21" s="1"/>
      <c r="I21" s="1"/>
    </row>
    <row r="22" spans="1:11" ht="18.75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11" ht="18.75" x14ac:dyDescent="0.3">
      <c r="A23" s="1"/>
      <c r="B23" s="29" t="s">
        <v>12</v>
      </c>
      <c r="C23" s="31" t="s">
        <v>57</v>
      </c>
      <c r="D23" s="31"/>
      <c r="E23" s="31"/>
      <c r="F23" s="31"/>
      <c r="G23" s="31"/>
      <c r="H23" s="31"/>
      <c r="I23" s="30"/>
      <c r="J23" s="52"/>
      <c r="K23" s="52"/>
    </row>
    <row r="24" spans="1:11" ht="18.75" x14ac:dyDescent="0.3">
      <c r="A24" s="1"/>
      <c r="B24" s="1"/>
      <c r="C24" s="1"/>
      <c r="D24" s="1"/>
      <c r="E24" s="1"/>
      <c r="F24" s="1"/>
      <c r="G24" s="1"/>
      <c r="H24" s="1"/>
      <c r="I24" s="1"/>
    </row>
    <row r="25" spans="1:11" ht="18.75" x14ac:dyDescent="0.3">
      <c r="A25" s="1"/>
      <c r="B25" s="1"/>
      <c r="C25" s="3" t="s">
        <v>86</v>
      </c>
      <c r="D25" s="3"/>
      <c r="E25" s="3"/>
      <c r="F25" s="1"/>
      <c r="G25" s="1"/>
      <c r="H25" s="1"/>
      <c r="I25" s="1"/>
    </row>
    <row r="26" spans="1:11" ht="19.5" thickBot="1" x14ac:dyDescent="0.35">
      <c r="A26" s="1"/>
      <c r="B26" s="1"/>
      <c r="C26" s="1"/>
      <c r="D26" s="1"/>
      <c r="E26" s="1"/>
      <c r="F26" s="1"/>
      <c r="G26" s="1"/>
      <c r="H26" s="1"/>
      <c r="I26" s="1"/>
    </row>
    <row r="27" spans="1:11" ht="18.75" x14ac:dyDescent="0.3">
      <c r="A27" s="1"/>
      <c r="B27" s="1"/>
      <c r="C27" s="16" t="s">
        <v>37</v>
      </c>
      <c r="D27" s="6" t="s">
        <v>38</v>
      </c>
      <c r="E27" s="17" t="s">
        <v>13</v>
      </c>
      <c r="F27" s="1"/>
      <c r="G27" s="1"/>
      <c r="H27" s="1"/>
      <c r="I27" s="1"/>
    </row>
    <row r="28" spans="1:11" ht="18.75" x14ac:dyDescent="0.3">
      <c r="A28" s="1"/>
      <c r="B28" s="1"/>
      <c r="C28" s="18">
        <f>1/12</f>
        <v>8.3333333333333329E-2</v>
      </c>
      <c r="D28" s="10">
        <v>0.19042999999999999</v>
      </c>
      <c r="E28" s="11">
        <f>((1+D29/100*C29)/(1+D28/100*C28)-1)*12</f>
        <v>2.5778909101941139E-3</v>
      </c>
      <c r="F28" s="1"/>
      <c r="G28" s="1"/>
      <c r="H28" s="1"/>
      <c r="I28" s="1"/>
    </row>
    <row r="29" spans="1:11" ht="18.75" x14ac:dyDescent="0.3">
      <c r="A29" s="1"/>
      <c r="B29" s="1"/>
      <c r="C29" s="18">
        <f>2/12</f>
        <v>0.16666666666666666</v>
      </c>
      <c r="D29" s="10">
        <v>0.22413</v>
      </c>
      <c r="E29" s="11">
        <f t="shared" ref="E29:E38" si="1">((1+D30/100*C30)/(1+D29/100*C29)-1)*12</f>
        <v>3.1026410084535883E-3</v>
      </c>
      <c r="F29" s="1"/>
      <c r="G29" s="1"/>
      <c r="H29" s="1"/>
      <c r="I29" s="1"/>
    </row>
    <row r="30" spans="1:11" ht="18.75" x14ac:dyDescent="0.3">
      <c r="A30" s="1"/>
      <c r="B30" s="1"/>
      <c r="C30" s="18">
        <f>3/12</f>
        <v>0.25</v>
      </c>
      <c r="D30" s="10">
        <v>0.25287999999999999</v>
      </c>
      <c r="E30" s="11">
        <f>((1+D31/100*C31)/(1+D30/100*C30)-1)*12</f>
        <v>4.1961471957439045E-3</v>
      </c>
      <c r="F30" s="1"/>
      <c r="G30" s="1"/>
      <c r="H30" s="1"/>
      <c r="I30" s="1"/>
    </row>
    <row r="31" spans="1:11" ht="18.75" x14ac:dyDescent="0.3">
      <c r="A31" s="1"/>
      <c r="B31" s="1"/>
      <c r="C31" s="18">
        <f>4/12</f>
        <v>0.33333333333333331</v>
      </c>
      <c r="D31" s="10">
        <v>0.29463</v>
      </c>
      <c r="E31" s="11">
        <f t="shared" si="1"/>
        <v>5.7156866241649951E-3</v>
      </c>
      <c r="F31" s="1"/>
      <c r="G31" s="1"/>
      <c r="H31" s="1"/>
      <c r="I31" s="1"/>
    </row>
    <row r="32" spans="1:11" ht="18.75" x14ac:dyDescent="0.3">
      <c r="A32" s="1"/>
      <c r="B32" s="1"/>
      <c r="C32" s="18">
        <f>5/12</f>
        <v>0.41666666666666669</v>
      </c>
      <c r="D32" s="10">
        <v>0.35013</v>
      </c>
      <c r="E32" s="11">
        <f t="shared" si="1"/>
        <v>6.6715670176673569E-3</v>
      </c>
      <c r="F32" s="1"/>
      <c r="G32" s="1"/>
      <c r="H32" s="1"/>
      <c r="I32" s="1"/>
    </row>
    <row r="33" spans="1:11" ht="18.75" x14ac:dyDescent="0.3">
      <c r="A33" s="1"/>
      <c r="B33" s="1"/>
      <c r="C33" s="18">
        <f>6/12</f>
        <v>0.5</v>
      </c>
      <c r="D33" s="10">
        <v>0.40312999999999999</v>
      </c>
      <c r="E33" s="11">
        <f t="shared" si="1"/>
        <v>7.9353052020696424E-3</v>
      </c>
      <c r="F33" s="1"/>
      <c r="G33" s="1"/>
      <c r="H33" s="1"/>
      <c r="I33" s="1"/>
    </row>
    <row r="34" spans="1:11" ht="18.75" x14ac:dyDescent="0.3">
      <c r="A34" s="1"/>
      <c r="B34" s="1"/>
      <c r="C34" s="18">
        <f>7/12</f>
        <v>0.58333333333333337</v>
      </c>
      <c r="D34" s="10">
        <v>0.45912999999999998</v>
      </c>
      <c r="E34" s="11">
        <f t="shared" si="1"/>
        <v>8.8675504092199375E-3</v>
      </c>
      <c r="F34" s="1"/>
      <c r="G34" s="1"/>
      <c r="H34" s="1"/>
      <c r="I34" s="1"/>
    </row>
    <row r="35" spans="1:11" ht="18.75" x14ac:dyDescent="0.3">
      <c r="A35" s="1"/>
      <c r="B35" s="1"/>
      <c r="C35" s="18">
        <f>8/12</f>
        <v>0.66666666666666663</v>
      </c>
      <c r="D35" s="10">
        <v>0.51288</v>
      </c>
      <c r="E35" s="11">
        <f t="shared" si="1"/>
        <v>9.7529527041171349E-3</v>
      </c>
      <c r="F35" s="1"/>
      <c r="G35" s="1"/>
      <c r="H35" s="1"/>
      <c r="I35" s="1"/>
    </row>
    <row r="36" spans="1:11" ht="18.75" x14ac:dyDescent="0.3">
      <c r="A36" s="1"/>
      <c r="B36" s="1"/>
      <c r="C36" s="18">
        <f>9/12</f>
        <v>0.75</v>
      </c>
      <c r="D36" s="10">
        <v>0.56462999999999997</v>
      </c>
      <c r="E36" s="11">
        <f t="shared" si="1"/>
        <v>1.104950837066454E-2</v>
      </c>
      <c r="F36" s="1"/>
      <c r="G36" s="1"/>
      <c r="H36" s="1"/>
      <c r="I36" s="1"/>
    </row>
    <row r="37" spans="1:11" ht="18.75" x14ac:dyDescent="0.3">
      <c r="A37" s="1"/>
      <c r="B37" s="1"/>
      <c r="C37" s="18">
        <f>10/12</f>
        <v>0.83333333333333337</v>
      </c>
      <c r="D37" s="10">
        <v>0.61912999999999996</v>
      </c>
      <c r="E37" s="11">
        <f t="shared" si="1"/>
        <v>1.1863292331820929E-2</v>
      </c>
      <c r="F37" s="1"/>
      <c r="G37" s="1"/>
      <c r="H37" s="1"/>
      <c r="I37" s="1"/>
    </row>
    <row r="38" spans="1:11" ht="18.75" x14ac:dyDescent="0.3">
      <c r="A38" s="1"/>
      <c r="B38" s="1"/>
      <c r="C38" s="18">
        <f>11/12</f>
        <v>0.91666666666666663</v>
      </c>
      <c r="D38" s="10">
        <v>0.67125000000000001</v>
      </c>
      <c r="E38" s="11">
        <f t="shared" si="1"/>
        <v>1.3618702421663187E-2</v>
      </c>
      <c r="F38" s="1"/>
      <c r="G38" s="1"/>
      <c r="H38" s="1"/>
      <c r="I38" s="1"/>
    </row>
    <row r="39" spans="1:11" ht="19.5" thickBot="1" x14ac:dyDescent="0.35">
      <c r="A39" s="1"/>
      <c r="B39" s="1"/>
      <c r="C39" s="19">
        <v>1</v>
      </c>
      <c r="D39" s="14">
        <v>0.72950000000000004</v>
      </c>
      <c r="E39" s="20"/>
      <c r="F39" s="1"/>
      <c r="G39" s="1"/>
      <c r="H39" s="1"/>
      <c r="I39" s="1"/>
    </row>
    <row r="40" spans="1:11" ht="18.75" x14ac:dyDescent="0.3">
      <c r="A40" s="1"/>
      <c r="B40" s="1"/>
      <c r="C40" s="1"/>
      <c r="D40" s="1"/>
      <c r="E40" s="1"/>
      <c r="F40" s="1"/>
      <c r="G40" s="1"/>
      <c r="H40" s="1"/>
      <c r="I40" s="1"/>
    </row>
    <row r="41" spans="1:11" ht="18.75" x14ac:dyDescent="0.3">
      <c r="A41" s="1"/>
      <c r="B41" s="29" t="s">
        <v>14</v>
      </c>
      <c r="C41" s="29" t="s">
        <v>58</v>
      </c>
      <c r="D41" s="30"/>
      <c r="E41" s="30"/>
      <c r="F41" s="30"/>
      <c r="G41" s="30"/>
      <c r="H41" s="30"/>
      <c r="I41" s="30"/>
      <c r="J41" s="52"/>
      <c r="K41" s="52"/>
    </row>
    <row r="42" spans="1:11" ht="18.75" x14ac:dyDescent="0.3">
      <c r="A42" s="1"/>
      <c r="B42" s="1"/>
      <c r="C42" s="1"/>
      <c r="D42" s="1"/>
      <c r="E42" s="1"/>
      <c r="F42" s="1"/>
      <c r="G42" s="1"/>
      <c r="H42" s="1"/>
      <c r="I42" s="1"/>
    </row>
    <row r="43" spans="1:11" ht="18.75" x14ac:dyDescent="0.3">
      <c r="A43" s="1"/>
      <c r="B43" s="1"/>
      <c r="C43" s="3" t="s">
        <v>41</v>
      </c>
      <c r="D43" s="4"/>
      <c r="E43" s="4"/>
      <c r="F43" s="4"/>
      <c r="G43" s="4"/>
      <c r="H43" s="1"/>
      <c r="I43" s="1"/>
    </row>
    <row r="44" spans="1:11" ht="19.5" thickBot="1" x14ac:dyDescent="0.35">
      <c r="A44" s="1"/>
      <c r="B44" s="1"/>
      <c r="C44" s="1"/>
      <c r="D44" s="1"/>
      <c r="E44" s="1"/>
      <c r="F44" s="1"/>
      <c r="G44" s="1"/>
      <c r="H44" s="1"/>
      <c r="I44" s="1"/>
    </row>
    <row r="45" spans="1:11" ht="56.25" x14ac:dyDescent="0.3">
      <c r="A45" s="1"/>
      <c r="B45" s="1"/>
      <c r="C45" s="21" t="s">
        <v>37</v>
      </c>
      <c r="D45" s="22" t="s">
        <v>38</v>
      </c>
      <c r="E45" s="23" t="s">
        <v>42</v>
      </c>
      <c r="F45" s="24"/>
      <c r="G45" s="1"/>
      <c r="H45" s="1"/>
      <c r="I45" s="1"/>
    </row>
    <row r="46" spans="1:11" ht="18.75" x14ac:dyDescent="0.3">
      <c r="A46" s="1"/>
      <c r="B46" s="1"/>
      <c r="C46" s="18">
        <v>2.7397260273972603E-3</v>
      </c>
      <c r="D46" s="10">
        <v>0.128</v>
      </c>
      <c r="E46" s="25">
        <f>((1+D46/100*C46)^(1/(12*C46))-1)*12*100</f>
        <v>0.1280066024508919</v>
      </c>
      <c r="F46" s="24"/>
      <c r="G46" s="1"/>
      <c r="H46" s="1"/>
      <c r="I46" s="1"/>
    </row>
    <row r="47" spans="1:11" ht="18.75" x14ac:dyDescent="0.3">
      <c r="A47" s="1"/>
      <c r="B47" s="1"/>
      <c r="C47" s="18">
        <f>1/52</f>
        <v>1.9230769230769232E-2</v>
      </c>
      <c r="D47" s="10">
        <v>0.16270000000000001</v>
      </c>
      <c r="E47" s="25">
        <f t="shared" ref="E47:E60" si="2">((1+D47/100*C47)^(1/(12*C47))-1)*12*100</f>
        <v>0.1627084845947202</v>
      </c>
      <c r="F47" s="24"/>
      <c r="G47" s="1"/>
      <c r="H47" s="1"/>
      <c r="I47" s="1"/>
    </row>
    <row r="48" spans="1:11" ht="18.75" x14ac:dyDescent="0.3">
      <c r="A48" s="1"/>
      <c r="B48" s="1"/>
      <c r="C48" s="18">
        <f>2/52</f>
        <v>3.8461538461538464E-2</v>
      </c>
      <c r="D48" s="10">
        <v>0.17169999999999999</v>
      </c>
      <c r="E48" s="25">
        <f t="shared" si="2"/>
        <v>0.17170661432670542</v>
      </c>
      <c r="F48" s="24"/>
      <c r="G48" s="1"/>
      <c r="H48" s="1"/>
      <c r="I48" s="1"/>
    </row>
    <row r="49" spans="1:9" ht="18.75" x14ac:dyDescent="0.3">
      <c r="A49" s="1"/>
      <c r="B49" s="1"/>
      <c r="C49" s="18">
        <f>1/12</f>
        <v>8.3333333333333329E-2</v>
      </c>
      <c r="D49" s="10">
        <v>0.19042999999999999</v>
      </c>
      <c r="E49" s="25">
        <f t="shared" si="2"/>
        <v>0.1904300000000525</v>
      </c>
      <c r="F49" s="26"/>
      <c r="G49" s="1"/>
      <c r="H49" s="1"/>
      <c r="I49" s="1"/>
    </row>
    <row r="50" spans="1:9" ht="18.75" x14ac:dyDescent="0.3">
      <c r="A50" s="1"/>
      <c r="B50" s="1"/>
      <c r="C50" s="18">
        <f>2/12</f>
        <v>0.16666666666666666</v>
      </c>
      <c r="D50" s="10">
        <v>0.22413</v>
      </c>
      <c r="E50" s="25">
        <f t="shared" si="2"/>
        <v>0.2241090729681261</v>
      </c>
      <c r="F50" s="1"/>
      <c r="G50" s="1"/>
      <c r="H50" s="1"/>
      <c r="I50" s="1"/>
    </row>
    <row r="51" spans="1:9" ht="18.75" x14ac:dyDescent="0.3">
      <c r="A51" s="1"/>
      <c r="B51" s="1"/>
      <c r="C51" s="18">
        <f>3/12</f>
        <v>0.25</v>
      </c>
      <c r="D51" s="10">
        <v>0.25287999999999999</v>
      </c>
      <c r="E51" s="25">
        <f t="shared" si="2"/>
        <v>0.25282672846360654</v>
      </c>
      <c r="F51" s="1"/>
      <c r="G51" s="1"/>
      <c r="H51" s="1"/>
      <c r="I51" s="1"/>
    </row>
    <row r="52" spans="1:9" ht="18.75" x14ac:dyDescent="0.3">
      <c r="A52" s="1"/>
      <c r="B52" s="1"/>
      <c r="C52" s="18">
        <f>4/12</f>
        <v>0.33333333333333331</v>
      </c>
      <c r="D52" s="10">
        <v>0.29463</v>
      </c>
      <c r="E52" s="25">
        <f t="shared" si="2"/>
        <v>0.29452155357558851</v>
      </c>
      <c r="F52" s="1"/>
      <c r="G52" s="1"/>
      <c r="H52" s="1"/>
      <c r="I52" s="1"/>
    </row>
    <row r="53" spans="1:9" ht="18.75" x14ac:dyDescent="0.3">
      <c r="A53" s="1"/>
      <c r="B53" s="1"/>
      <c r="C53" s="18">
        <f>5/12</f>
        <v>0.41666666666666669</v>
      </c>
      <c r="D53" s="10">
        <v>0.35013</v>
      </c>
      <c r="E53" s="25">
        <f t="shared" si="2"/>
        <v>0.34992586030098138</v>
      </c>
      <c r="F53" s="1"/>
      <c r="G53" s="1"/>
      <c r="H53" s="1"/>
      <c r="I53" s="1"/>
    </row>
    <row r="54" spans="1:9" ht="18.75" x14ac:dyDescent="0.3">
      <c r="A54" s="1"/>
      <c r="B54" s="1"/>
      <c r="C54" s="18">
        <f>6/12</f>
        <v>0.5</v>
      </c>
      <c r="D54" s="10">
        <v>0.40312999999999999</v>
      </c>
      <c r="E54" s="25">
        <f t="shared" si="2"/>
        <v>0.40279184604150586</v>
      </c>
      <c r="F54" s="1"/>
      <c r="G54" s="1"/>
      <c r="H54" s="1"/>
      <c r="I54" s="1"/>
    </row>
    <row r="55" spans="1:9" ht="18.75" x14ac:dyDescent="0.3">
      <c r="A55" s="1"/>
      <c r="B55" s="1"/>
      <c r="C55" s="18">
        <f>7/12</f>
        <v>0.58333333333333337</v>
      </c>
      <c r="D55" s="10">
        <v>0.45912999999999998</v>
      </c>
      <c r="E55" s="25">
        <f t="shared" si="2"/>
        <v>0.45860387119098789</v>
      </c>
      <c r="F55" s="1"/>
      <c r="G55" s="1"/>
      <c r="H55" s="1"/>
      <c r="I55" s="1"/>
    </row>
    <row r="56" spans="1:9" ht="18.75" x14ac:dyDescent="0.3">
      <c r="A56" s="1"/>
      <c r="B56" s="1"/>
      <c r="C56" s="18">
        <f>8/12</f>
        <v>0.66666666666666663</v>
      </c>
      <c r="D56" s="10">
        <v>0.51288</v>
      </c>
      <c r="E56" s="25">
        <f t="shared" si="2"/>
        <v>0.51211441833256544</v>
      </c>
      <c r="F56" s="1"/>
      <c r="G56" s="1"/>
      <c r="H56" s="1"/>
      <c r="I56" s="1"/>
    </row>
    <row r="57" spans="1:9" ht="18.75" x14ac:dyDescent="0.3">
      <c r="A57" s="1"/>
      <c r="B57" s="1"/>
      <c r="C57" s="18">
        <f>9/12</f>
        <v>0.75</v>
      </c>
      <c r="D57" s="10">
        <v>0.56462999999999997</v>
      </c>
      <c r="E57" s="25">
        <f t="shared" si="2"/>
        <v>0.56357013469900963</v>
      </c>
      <c r="F57" s="1"/>
      <c r="G57" s="1"/>
      <c r="H57" s="1"/>
      <c r="I57" s="1"/>
    </row>
    <row r="58" spans="1:9" ht="18.75" x14ac:dyDescent="0.3">
      <c r="A58" s="1"/>
      <c r="B58" s="1"/>
      <c r="C58" s="18">
        <f>10/12</f>
        <v>0.83333333333333337</v>
      </c>
      <c r="D58" s="10">
        <v>0.61912999999999996</v>
      </c>
      <c r="E58" s="25">
        <f t="shared" si="2"/>
        <v>0.61769722224171986</v>
      </c>
      <c r="F58" s="1"/>
      <c r="G58" s="1"/>
      <c r="H58" s="1"/>
      <c r="I58" s="1"/>
    </row>
    <row r="59" spans="1:9" ht="18.75" x14ac:dyDescent="0.3">
      <c r="A59" s="1"/>
      <c r="B59" s="1"/>
      <c r="C59" s="18">
        <f>11/12</f>
        <v>0.91666666666666663</v>
      </c>
      <c r="D59" s="10">
        <v>0.67125000000000001</v>
      </c>
      <c r="E59" s="25">
        <f t="shared" si="2"/>
        <v>0.66937991612068259</v>
      </c>
      <c r="F59" s="1"/>
      <c r="G59" s="1"/>
      <c r="H59" s="1"/>
      <c r="I59" s="1"/>
    </row>
    <row r="60" spans="1:9" ht="19.5" thickBot="1" x14ac:dyDescent="0.35">
      <c r="A60" s="1"/>
      <c r="B60" s="1"/>
      <c r="C60" s="19">
        <v>1</v>
      </c>
      <c r="D60" s="14">
        <v>0.72950000000000004</v>
      </c>
      <c r="E60" s="27">
        <f t="shared" si="2"/>
        <v>0.72707219419179125</v>
      </c>
      <c r="F60" s="1"/>
      <c r="G60" s="1"/>
      <c r="H60" s="1"/>
      <c r="I60" s="1"/>
    </row>
    <row r="61" spans="1:9" ht="18.75" x14ac:dyDescent="0.3">
      <c r="A61" s="1"/>
      <c r="B61" s="1"/>
      <c r="C61" s="28"/>
      <c r="D61" s="28"/>
      <c r="E61" s="28"/>
      <c r="F61" s="1"/>
      <c r="G61" s="1"/>
      <c r="H61" s="1"/>
      <c r="I61" s="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3"/>
  <sheetViews>
    <sheetView tabSelected="1" topLeftCell="A31" workbookViewId="0">
      <selection activeCell="B36" sqref="B36:B37"/>
    </sheetView>
  </sheetViews>
  <sheetFormatPr defaultColWidth="11" defaultRowHeight="15.75" x14ac:dyDescent="0.25"/>
  <cols>
    <col min="3" max="3" width="12.5" customWidth="1"/>
    <col min="4" max="4" width="13.375" customWidth="1"/>
    <col min="7" max="7" width="14.625" customWidth="1"/>
    <col min="9" max="9" width="14.375" customWidth="1"/>
    <col min="10" max="10" width="11.875" customWidth="1"/>
    <col min="11" max="11" width="13" customWidth="1"/>
    <col min="12" max="12" width="14.875" customWidth="1"/>
    <col min="13" max="13" width="14.125" customWidth="1"/>
  </cols>
  <sheetData>
    <row r="1" spans="1:15" ht="26.25" x14ac:dyDescent="0.4">
      <c r="A1" s="54" t="s">
        <v>43</v>
      </c>
      <c r="B1" s="55"/>
    </row>
    <row r="2" spans="1:15" ht="18.75" x14ac:dyDescent="0.3">
      <c r="A2" s="57"/>
      <c r="B2" s="70" t="s">
        <v>0</v>
      </c>
      <c r="C2" s="70" t="s">
        <v>44</v>
      </c>
      <c r="D2" s="76"/>
      <c r="E2" s="76"/>
      <c r="F2" s="76"/>
      <c r="G2" s="76"/>
      <c r="H2" s="76"/>
      <c r="I2" s="76"/>
      <c r="J2" s="76"/>
      <c r="K2" s="76"/>
      <c r="L2" s="76"/>
      <c r="M2" s="57"/>
      <c r="N2" s="57"/>
      <c r="O2" s="57"/>
    </row>
    <row r="3" spans="1:15" ht="18.75" x14ac:dyDescent="0.3">
      <c r="A3" s="57"/>
      <c r="B3" s="67"/>
      <c r="C3" s="6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5" ht="18.75" x14ac:dyDescent="0.3">
      <c r="A4" s="57"/>
      <c r="C4" s="68" t="s">
        <v>47</v>
      </c>
      <c r="D4" s="7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</row>
    <row r="5" spans="1:15" ht="18.75" x14ac:dyDescent="0.3">
      <c r="A5" s="57"/>
      <c r="C5" s="68" t="s">
        <v>48</v>
      </c>
      <c r="D5" s="77"/>
      <c r="E5" s="77"/>
      <c r="F5" s="77"/>
      <c r="G5" s="77"/>
      <c r="H5" s="77"/>
      <c r="I5" s="77"/>
      <c r="J5" s="77"/>
      <c r="K5" s="57"/>
      <c r="L5" s="57"/>
      <c r="M5" s="57"/>
      <c r="N5" s="57"/>
      <c r="O5" s="57"/>
    </row>
    <row r="6" spans="1:15" ht="18.75" x14ac:dyDescent="0.3">
      <c r="A6" s="57"/>
      <c r="C6" s="68" t="s">
        <v>49</v>
      </c>
      <c r="D6" s="68"/>
      <c r="E6" s="68"/>
      <c r="F6" s="68"/>
      <c r="G6" s="68"/>
      <c r="H6" s="77"/>
      <c r="I6" s="57"/>
      <c r="J6" s="57"/>
      <c r="K6" s="57"/>
      <c r="L6" s="57"/>
      <c r="M6" s="57"/>
      <c r="N6" s="57"/>
      <c r="O6" s="57"/>
    </row>
    <row r="7" spans="1:15" ht="18.75" x14ac:dyDescent="0.3">
      <c r="A7" s="57"/>
      <c r="C7" s="68" t="s">
        <v>50</v>
      </c>
      <c r="D7" s="68"/>
      <c r="E7" s="68"/>
      <c r="F7" s="68"/>
      <c r="G7" s="68"/>
      <c r="H7" s="77"/>
      <c r="I7" s="57"/>
      <c r="J7" s="57"/>
      <c r="K7" s="57"/>
      <c r="L7" s="57"/>
      <c r="M7" s="57"/>
      <c r="N7" s="57"/>
      <c r="O7" s="57"/>
    </row>
    <row r="8" spans="1:15" ht="19.5" thickBot="1" x14ac:dyDescent="0.35">
      <c r="A8" s="57"/>
      <c r="B8" s="69"/>
      <c r="C8" s="69"/>
      <c r="D8" s="69"/>
      <c r="E8" s="69"/>
      <c r="F8" s="69"/>
      <c r="G8" s="69"/>
      <c r="H8" s="57"/>
      <c r="I8" s="57"/>
      <c r="J8" s="57"/>
      <c r="K8" s="57"/>
      <c r="L8" s="57"/>
      <c r="M8" s="57"/>
      <c r="N8" s="57"/>
      <c r="O8" s="57"/>
    </row>
    <row r="9" spans="1:15" ht="37.5" x14ac:dyDescent="0.3">
      <c r="A9" s="57"/>
      <c r="B9" s="57"/>
      <c r="C9" s="57"/>
      <c r="D9" s="65" t="s">
        <v>45</v>
      </c>
      <c r="E9" s="66" t="s">
        <v>40</v>
      </c>
      <c r="F9" s="78" t="s">
        <v>46</v>
      </c>
      <c r="G9" s="57"/>
      <c r="H9" s="57"/>
      <c r="I9" s="57"/>
      <c r="J9" s="57"/>
      <c r="K9" s="57"/>
      <c r="L9" s="57"/>
      <c r="M9" s="57"/>
      <c r="N9" s="57"/>
      <c r="O9" s="57"/>
    </row>
    <row r="10" spans="1:15" ht="18.75" x14ac:dyDescent="0.3">
      <c r="A10" s="57"/>
      <c r="B10" s="57"/>
      <c r="C10" s="58" t="s">
        <v>4</v>
      </c>
      <c r="D10" s="59">
        <f>1/365</f>
        <v>2.7397260273972603E-3</v>
      </c>
      <c r="E10" s="60">
        <v>0.99999000000000005</v>
      </c>
      <c r="F10" s="79">
        <f>-LN(E10)/D10</f>
        <v>3.6500182501050557E-3</v>
      </c>
      <c r="G10" s="57"/>
      <c r="H10" s="57"/>
      <c r="I10" s="57"/>
      <c r="J10" s="57"/>
      <c r="K10" s="57"/>
      <c r="L10" s="57"/>
      <c r="M10" s="57"/>
      <c r="N10" s="57"/>
      <c r="O10" s="57"/>
    </row>
    <row r="11" spans="1:15" ht="18.75" x14ac:dyDescent="0.3">
      <c r="A11" s="57"/>
      <c r="B11" s="57"/>
      <c r="C11" s="58" t="s">
        <v>5</v>
      </c>
      <c r="D11" s="59">
        <v>1.9230000000000001E-2</v>
      </c>
      <c r="E11" s="60">
        <v>0.99988999999999995</v>
      </c>
      <c r="F11" s="79">
        <f t="shared" ref="F11:F16" si="0">-LN(E11)/D11</f>
        <v>5.7205434448131965E-3</v>
      </c>
      <c r="G11" s="57"/>
      <c r="H11" s="57"/>
      <c r="I11" s="57"/>
      <c r="J11" s="57"/>
      <c r="K11" s="57"/>
      <c r="L11" s="57"/>
      <c r="M11" s="57"/>
      <c r="N11" s="57"/>
      <c r="O11" s="57"/>
    </row>
    <row r="12" spans="1:15" ht="18.75" x14ac:dyDescent="0.3">
      <c r="A12" s="57"/>
      <c r="B12" s="57"/>
      <c r="C12" s="61" t="s">
        <v>6</v>
      </c>
      <c r="D12" s="59">
        <v>8.3330000000000001E-2</v>
      </c>
      <c r="E12" s="60">
        <v>0.99950000000000006</v>
      </c>
      <c r="F12" s="79">
        <f t="shared" si="0"/>
        <v>6.0017405698097066E-3</v>
      </c>
      <c r="G12" s="57"/>
      <c r="H12" s="57"/>
      <c r="I12" s="57"/>
      <c r="J12" s="57"/>
      <c r="K12" s="57"/>
      <c r="L12" s="57"/>
      <c r="M12" s="57"/>
      <c r="N12" s="57"/>
      <c r="O12" s="57"/>
    </row>
    <row r="13" spans="1:15" ht="18.75" x14ac:dyDescent="0.3">
      <c r="A13" s="57"/>
      <c r="B13" s="57"/>
      <c r="C13" s="58" t="s">
        <v>7</v>
      </c>
      <c r="D13" s="59">
        <v>0.25</v>
      </c>
      <c r="E13" s="60">
        <v>0.99875000000000003</v>
      </c>
      <c r="F13" s="79">
        <f t="shared" si="0"/>
        <v>5.0031276066104099E-3</v>
      </c>
      <c r="G13" s="57"/>
      <c r="H13" s="57"/>
      <c r="I13" s="57"/>
      <c r="J13" s="57"/>
      <c r="K13" s="57"/>
      <c r="L13" s="57"/>
      <c r="M13" s="57"/>
      <c r="N13" s="57"/>
      <c r="O13" s="57"/>
    </row>
    <row r="14" spans="1:15" ht="18.75" x14ac:dyDescent="0.3">
      <c r="A14" s="57"/>
      <c r="B14" s="57"/>
      <c r="C14" s="58" t="s">
        <v>29</v>
      </c>
      <c r="D14" s="56">
        <f>4/12</f>
        <v>0.33333333333333331</v>
      </c>
      <c r="E14" s="64">
        <f>EXP(-F14*D14)</f>
        <v>0.99794608065256019</v>
      </c>
      <c r="F14" s="79">
        <f>(F15-F13)/(D15-D13)*(D14-D13)+F13</f>
        <v>6.1680945973502203E-3</v>
      </c>
      <c r="G14" s="57"/>
      <c r="H14" s="57"/>
      <c r="I14" s="57"/>
      <c r="J14" s="57"/>
      <c r="K14" s="57"/>
      <c r="L14" s="57"/>
      <c r="M14" s="57"/>
      <c r="N14" s="57"/>
      <c r="O14" s="57"/>
    </row>
    <row r="15" spans="1:15" ht="18.75" x14ac:dyDescent="0.3">
      <c r="A15" s="57"/>
      <c r="B15" s="57"/>
      <c r="C15" s="58" t="s">
        <v>8</v>
      </c>
      <c r="D15" s="59">
        <v>0.5</v>
      </c>
      <c r="E15" s="60">
        <v>0.99575999999999998</v>
      </c>
      <c r="F15" s="79">
        <f t="shared" si="0"/>
        <v>8.4980285788298412E-3</v>
      </c>
      <c r="G15" s="57"/>
      <c r="H15" s="57"/>
      <c r="I15" s="57"/>
      <c r="J15" s="57"/>
      <c r="K15" s="57"/>
      <c r="L15" s="57"/>
      <c r="M15" s="57"/>
      <c r="N15" s="57"/>
      <c r="O15" s="57"/>
    </row>
    <row r="16" spans="1:15" ht="19.5" thickBot="1" x14ac:dyDescent="0.35">
      <c r="A16" s="57"/>
      <c r="B16" s="57"/>
      <c r="C16" s="58" t="s">
        <v>9</v>
      </c>
      <c r="D16" s="62">
        <v>1</v>
      </c>
      <c r="E16" s="63">
        <v>0.98807</v>
      </c>
      <c r="F16" s="80">
        <f t="shared" si="0"/>
        <v>1.2001733541597132E-2</v>
      </c>
      <c r="G16" s="57"/>
      <c r="H16" s="57"/>
      <c r="I16" s="57"/>
      <c r="J16" s="57"/>
      <c r="K16" s="57"/>
      <c r="L16" s="57"/>
      <c r="M16" s="57"/>
      <c r="N16" s="57"/>
      <c r="O16" s="57"/>
    </row>
    <row r="17" spans="1:15" ht="18.75" x14ac:dyDescent="0.3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</row>
    <row r="18" spans="1:15" ht="18.75" x14ac:dyDescent="0.3">
      <c r="A18" s="57"/>
      <c r="B18" s="70" t="s">
        <v>12</v>
      </c>
      <c r="C18" s="70" t="s">
        <v>51</v>
      </c>
      <c r="D18" s="70"/>
      <c r="E18" s="70"/>
      <c r="F18" s="70"/>
      <c r="G18" s="70"/>
      <c r="H18" s="70"/>
      <c r="I18" s="70"/>
      <c r="J18" s="70"/>
      <c r="K18" s="70"/>
      <c r="L18" s="57"/>
      <c r="M18" s="57"/>
      <c r="N18" s="57"/>
      <c r="O18" s="57"/>
    </row>
    <row r="19" spans="1:15" ht="18.75" x14ac:dyDescent="0.3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</row>
    <row r="20" spans="1:15" ht="18.75" x14ac:dyDescent="0.3">
      <c r="A20" s="57"/>
      <c r="C20" s="68" t="s">
        <v>59</v>
      </c>
      <c r="D20" s="77"/>
      <c r="E20" s="77"/>
      <c r="F20" s="77"/>
      <c r="G20" s="77"/>
      <c r="H20" s="77"/>
      <c r="I20" s="77"/>
      <c r="J20" s="77"/>
      <c r="K20" s="77"/>
      <c r="L20" s="57"/>
      <c r="M20" s="57"/>
      <c r="N20" s="57"/>
      <c r="O20" s="57"/>
    </row>
    <row r="21" spans="1:15" ht="18.75" x14ac:dyDescent="0.3">
      <c r="A21" s="57"/>
      <c r="C21" s="68" t="s">
        <v>60</v>
      </c>
      <c r="D21" s="68"/>
      <c r="E21" s="68"/>
      <c r="F21" s="68"/>
      <c r="G21" s="68"/>
      <c r="H21" s="77"/>
      <c r="I21" s="57"/>
      <c r="J21" s="57"/>
      <c r="K21" s="57"/>
      <c r="L21" s="57"/>
      <c r="M21" s="57"/>
      <c r="N21" s="57"/>
      <c r="O21" s="57"/>
    </row>
    <row r="22" spans="1:15" ht="19.5" thickBot="1" x14ac:dyDescent="0.3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</row>
    <row r="23" spans="1:15" ht="37.5" x14ac:dyDescent="0.3">
      <c r="A23" s="57"/>
      <c r="B23" s="57"/>
      <c r="C23" s="57"/>
      <c r="D23" s="65" t="s">
        <v>45</v>
      </c>
      <c r="E23" s="66" t="s">
        <v>40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</row>
    <row r="24" spans="1:15" ht="18.75" x14ac:dyDescent="0.3">
      <c r="A24" s="57"/>
      <c r="B24" s="57"/>
      <c r="C24" s="58" t="s">
        <v>4</v>
      </c>
      <c r="D24" s="59">
        <f>1/365</f>
        <v>2.7397260273972603E-3</v>
      </c>
      <c r="E24" s="60">
        <v>0.99999000000000005</v>
      </c>
      <c r="F24" s="57"/>
      <c r="G24" s="57"/>
      <c r="H24" s="57"/>
      <c r="I24" s="57"/>
      <c r="J24" s="57"/>
      <c r="K24" s="57"/>
      <c r="L24" s="57"/>
      <c r="M24" s="57"/>
      <c r="N24" s="57"/>
      <c r="O24" s="57"/>
    </row>
    <row r="25" spans="1:15" ht="18.75" x14ac:dyDescent="0.3">
      <c r="A25" s="57"/>
      <c r="B25" s="57"/>
      <c r="C25" s="58" t="s">
        <v>5</v>
      </c>
      <c r="D25" s="59">
        <v>1.9230000000000001E-2</v>
      </c>
      <c r="E25" s="60">
        <v>0.99988999999999995</v>
      </c>
      <c r="F25" s="57"/>
      <c r="G25" s="57"/>
      <c r="H25" s="57"/>
      <c r="I25" s="57"/>
      <c r="J25" s="57"/>
      <c r="K25" s="57"/>
      <c r="L25" s="57"/>
      <c r="M25" s="57"/>
      <c r="N25" s="57"/>
      <c r="O25" s="57"/>
    </row>
    <row r="26" spans="1:15" ht="18.75" x14ac:dyDescent="0.3">
      <c r="A26" s="57"/>
      <c r="B26" s="57"/>
      <c r="C26" s="61" t="s">
        <v>6</v>
      </c>
      <c r="D26" s="59">
        <v>8.3330000000000001E-2</v>
      </c>
      <c r="E26" s="60">
        <v>0.99950000000000006</v>
      </c>
      <c r="F26" s="57"/>
      <c r="G26" s="57"/>
      <c r="H26" s="57"/>
      <c r="I26" s="57"/>
      <c r="J26" s="57"/>
      <c r="K26" s="57"/>
      <c r="L26" s="57"/>
      <c r="M26" s="57"/>
      <c r="N26" s="57"/>
      <c r="O26" s="57"/>
    </row>
    <row r="27" spans="1:15" ht="18.75" x14ac:dyDescent="0.3">
      <c r="A27" s="57"/>
      <c r="B27" s="57"/>
      <c r="C27" s="58" t="s">
        <v>7</v>
      </c>
      <c r="D27" s="59">
        <v>0.25</v>
      </c>
      <c r="E27" s="60">
        <v>0.99875000000000003</v>
      </c>
      <c r="F27" s="57"/>
      <c r="G27" s="57"/>
      <c r="H27" s="57"/>
      <c r="I27" s="57"/>
      <c r="J27" s="57"/>
      <c r="K27" s="57"/>
      <c r="L27" s="57"/>
      <c r="M27" s="57"/>
      <c r="N27" s="57"/>
      <c r="O27" s="57"/>
    </row>
    <row r="28" spans="1:15" ht="18.75" x14ac:dyDescent="0.3">
      <c r="A28" s="57"/>
      <c r="B28" s="57"/>
      <c r="C28" s="58" t="s">
        <v>29</v>
      </c>
      <c r="D28" s="56">
        <f>4/12</f>
        <v>0.33333333333333331</v>
      </c>
      <c r="E28" s="81">
        <v>0.99794608065256019</v>
      </c>
      <c r="F28" s="57"/>
      <c r="G28" s="57"/>
      <c r="H28" s="57"/>
      <c r="I28" s="57"/>
      <c r="J28" s="57"/>
      <c r="K28" s="57"/>
      <c r="L28" s="57"/>
      <c r="M28" s="57"/>
      <c r="N28" s="57"/>
      <c r="O28" s="57"/>
    </row>
    <row r="29" spans="1:15" ht="18.75" x14ac:dyDescent="0.3">
      <c r="A29" s="57"/>
      <c r="B29" s="57"/>
      <c r="C29" s="58" t="s">
        <v>8</v>
      </c>
      <c r="D29" s="59">
        <v>0.5</v>
      </c>
      <c r="E29" s="60">
        <v>0.99575999999999998</v>
      </c>
      <c r="F29" s="57"/>
      <c r="G29" s="57"/>
      <c r="H29" s="57"/>
      <c r="I29" s="57"/>
      <c r="J29" s="57"/>
      <c r="K29" s="57"/>
      <c r="L29" s="57"/>
      <c r="M29" s="57"/>
      <c r="N29" s="57"/>
      <c r="O29" s="57"/>
    </row>
    <row r="30" spans="1:15" ht="18.75" x14ac:dyDescent="0.3">
      <c r="A30" s="57"/>
      <c r="B30" s="57"/>
      <c r="C30" s="58" t="s">
        <v>34</v>
      </c>
      <c r="D30" s="82">
        <f>10/12</f>
        <v>0.83333333333333337</v>
      </c>
      <c r="E30" s="83">
        <f>EXP(LN(E29)+(LN(E31)-LN(E29))/(D31-D29)*(D30-D29))</f>
        <v>0.99062671192592344</v>
      </c>
      <c r="F30" s="57"/>
      <c r="G30" s="57"/>
      <c r="H30" s="57"/>
      <c r="I30" s="57"/>
      <c r="J30" s="57"/>
      <c r="K30" s="57"/>
      <c r="L30" s="57"/>
      <c r="M30" s="57"/>
      <c r="N30" s="57"/>
      <c r="O30" s="57"/>
    </row>
    <row r="31" spans="1:15" ht="19.5" thickBot="1" x14ac:dyDescent="0.35">
      <c r="A31" s="57"/>
      <c r="B31" s="57"/>
      <c r="C31" s="58" t="s">
        <v>9</v>
      </c>
      <c r="D31" s="62">
        <v>1</v>
      </c>
      <c r="E31" s="63">
        <v>0.98807</v>
      </c>
      <c r="F31" s="57"/>
      <c r="G31" s="57"/>
      <c r="H31" s="57"/>
      <c r="I31" s="57"/>
      <c r="J31" s="57"/>
      <c r="K31" s="57"/>
      <c r="L31" s="57"/>
      <c r="M31" s="57"/>
      <c r="N31" s="57"/>
      <c r="O31" s="57"/>
    </row>
    <row r="32" spans="1:15" ht="18.75" x14ac:dyDescent="0.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</row>
    <row r="33" spans="1:16" ht="18.75" x14ac:dyDescent="0.3">
      <c r="A33" s="57"/>
      <c r="B33" s="70" t="s">
        <v>14</v>
      </c>
      <c r="C33" s="70" t="s">
        <v>61</v>
      </c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69"/>
      <c r="O33" s="85"/>
    </row>
    <row r="34" spans="1:16" ht="18.75" x14ac:dyDescent="0.3">
      <c r="A34" s="57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85"/>
      <c r="P34" s="86"/>
    </row>
    <row r="35" spans="1:16" ht="18.75" x14ac:dyDescent="0.3">
      <c r="A35" s="57"/>
      <c r="B35" s="69"/>
      <c r="C35" s="68" t="s">
        <v>63</v>
      </c>
      <c r="D35" s="68"/>
      <c r="E35" s="68"/>
      <c r="F35" s="68"/>
      <c r="G35" s="68"/>
      <c r="H35" s="68"/>
      <c r="I35" s="68"/>
      <c r="J35" s="68"/>
      <c r="K35" s="69"/>
      <c r="L35" s="69"/>
      <c r="M35" s="69"/>
      <c r="N35" s="69"/>
      <c r="O35" s="85"/>
      <c r="P35" s="86"/>
    </row>
    <row r="36" spans="1:16" ht="18.75" x14ac:dyDescent="0.3">
      <c r="A36" s="57"/>
      <c r="B36" s="10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</row>
    <row r="37" spans="1:16" ht="19.5" thickBot="1" x14ac:dyDescent="0.35">
      <c r="B37" s="57"/>
      <c r="C37" s="57"/>
      <c r="D37" s="126" t="s">
        <v>62</v>
      </c>
      <c r="E37" s="126"/>
      <c r="F37" s="126"/>
      <c r="G37" s="126"/>
      <c r="H37" s="57"/>
      <c r="I37" s="127" t="s">
        <v>64</v>
      </c>
      <c r="J37" s="127"/>
      <c r="K37" s="127"/>
      <c r="L37" s="127"/>
      <c r="M37" s="57"/>
      <c r="N37" s="57"/>
      <c r="O37" s="57"/>
    </row>
    <row r="38" spans="1:16" ht="37.5" x14ac:dyDescent="0.3">
      <c r="A38" s="57"/>
      <c r="B38" s="57"/>
      <c r="C38" s="57"/>
      <c r="D38" s="65" t="s">
        <v>45</v>
      </c>
      <c r="E38" s="66" t="s">
        <v>40</v>
      </c>
      <c r="F38" s="87" t="s">
        <v>46</v>
      </c>
      <c r="G38" s="78" t="s">
        <v>13</v>
      </c>
      <c r="H38" s="57"/>
      <c r="I38" s="65" t="s">
        <v>45</v>
      </c>
      <c r="J38" s="66" t="s">
        <v>40</v>
      </c>
      <c r="K38" s="87" t="s">
        <v>46</v>
      </c>
      <c r="L38" s="78" t="s">
        <v>13</v>
      </c>
      <c r="M38" s="57"/>
      <c r="N38" s="57"/>
    </row>
    <row r="39" spans="1:16" ht="18.75" x14ac:dyDescent="0.3">
      <c r="A39" s="57"/>
      <c r="B39" s="57"/>
      <c r="C39" s="58" t="s">
        <v>4</v>
      </c>
      <c r="D39" s="89">
        <f>1/365</f>
        <v>2.7397260273972603E-3</v>
      </c>
      <c r="E39" s="90">
        <v>0.99999000000000005</v>
      </c>
      <c r="F39" s="90">
        <f>-LN(E39)/D39</f>
        <v>3.6500182501050557E-3</v>
      </c>
      <c r="G39" s="91"/>
      <c r="H39" s="57"/>
      <c r="I39" s="89">
        <f>1/365</f>
        <v>2.7397260273972603E-3</v>
      </c>
      <c r="J39" s="90">
        <v>0.99999000000000005</v>
      </c>
      <c r="K39" s="90">
        <f>-LN(J39)/I39</f>
        <v>3.6500182501050557E-3</v>
      </c>
      <c r="L39" s="91"/>
      <c r="M39" s="57"/>
      <c r="N39" s="57"/>
    </row>
    <row r="40" spans="1:16" ht="18.75" x14ac:dyDescent="0.3">
      <c r="A40" s="57"/>
      <c r="B40" s="57"/>
      <c r="C40" s="58" t="s">
        <v>5</v>
      </c>
      <c r="D40" s="89">
        <v>1.9230000000000001E-2</v>
      </c>
      <c r="E40" s="90">
        <v>0.99988999999999995</v>
      </c>
      <c r="F40" s="90">
        <f t="shared" ref="F40:F42" si="1">-LN(E40)/D40</f>
        <v>5.7205434448131965E-3</v>
      </c>
      <c r="G40" s="91"/>
      <c r="H40" s="57"/>
      <c r="I40" s="89">
        <v>1.9230000000000001E-2</v>
      </c>
      <c r="J40" s="90">
        <v>0.99988999999999995</v>
      </c>
      <c r="K40" s="90">
        <f t="shared" ref="K40:K46" si="2">-LN(J40)/I40</f>
        <v>5.7205434448131965E-3</v>
      </c>
      <c r="L40" s="91"/>
      <c r="M40" s="57"/>
      <c r="N40" s="57"/>
    </row>
    <row r="41" spans="1:16" ht="18.75" x14ac:dyDescent="0.3">
      <c r="A41" s="57"/>
      <c r="B41" s="57"/>
      <c r="C41" s="61" t="s">
        <v>6</v>
      </c>
      <c r="D41" s="89">
        <v>8.3330000000000001E-2</v>
      </c>
      <c r="E41" s="90">
        <v>0.99950000000000006</v>
      </c>
      <c r="F41" s="90">
        <f t="shared" si="1"/>
        <v>6.0017405698097066E-3</v>
      </c>
      <c r="G41" s="91"/>
      <c r="H41" s="57"/>
      <c r="I41" s="89">
        <v>8.3330000000000001E-2</v>
      </c>
      <c r="J41" s="90">
        <v>0.99950000000000006</v>
      </c>
      <c r="K41" s="90">
        <f t="shared" si="2"/>
        <v>6.0017405698097066E-3</v>
      </c>
      <c r="L41" s="91"/>
      <c r="M41" s="57"/>
      <c r="N41" s="57"/>
    </row>
    <row r="42" spans="1:16" ht="18.75" x14ac:dyDescent="0.3">
      <c r="A42" s="57"/>
      <c r="B42" s="57"/>
      <c r="C42" s="58" t="s">
        <v>7</v>
      </c>
      <c r="D42" s="89">
        <v>0.25</v>
      </c>
      <c r="E42" s="90">
        <v>0.99875000000000003</v>
      </c>
      <c r="F42" s="90">
        <f t="shared" si="1"/>
        <v>5.0031276066104099E-3</v>
      </c>
      <c r="G42" s="91"/>
      <c r="H42" s="57"/>
      <c r="I42" s="89">
        <v>0.25</v>
      </c>
      <c r="J42" s="90">
        <v>0.99875000000000003</v>
      </c>
      <c r="K42" s="90">
        <f t="shared" si="2"/>
        <v>5.0031276066104099E-3</v>
      </c>
      <c r="L42" s="91"/>
      <c r="M42" s="57"/>
      <c r="N42" s="57"/>
    </row>
    <row r="43" spans="1:16" ht="18.75" x14ac:dyDescent="0.3">
      <c r="A43" s="57"/>
      <c r="B43" s="57"/>
      <c r="C43" s="58" t="s">
        <v>29</v>
      </c>
      <c r="D43" s="92">
        <f>4/12</f>
        <v>0.33333333333333331</v>
      </c>
      <c r="E43" s="93">
        <f>EXP(-F43*D43)</f>
        <v>0.99794608065256019</v>
      </c>
      <c r="F43" s="90">
        <f>(F44-F42)/(D44-D42)*(D43-D42)+F42</f>
        <v>6.1680945973502203E-3</v>
      </c>
      <c r="G43" s="88">
        <f>-(LN(E45)-LN(E43))/(D45-D43)</f>
        <v>1.3944323414002254E-2</v>
      </c>
      <c r="H43" s="57"/>
      <c r="I43" s="92">
        <f>4/12</f>
        <v>0.33333333333333331</v>
      </c>
      <c r="J43" s="97">
        <f>EXP(LN(J42)+(LN(J44)-LN(J42))/(I44-I42)*(I43-I42))</f>
        <v>0.99775233708815714</v>
      </c>
      <c r="K43" s="90">
        <f t="shared" si="2"/>
        <v>6.7505780927202535E-3</v>
      </c>
      <c r="L43" s="88">
        <f>-(LN(J45)-LN(J43))/(I45-I43)</f>
        <v>1.4334602186592525E-2</v>
      </c>
      <c r="M43" s="57"/>
      <c r="N43" s="57"/>
    </row>
    <row r="44" spans="1:16" ht="18.75" x14ac:dyDescent="0.3">
      <c r="A44" s="57"/>
      <c r="B44" s="57"/>
      <c r="C44" s="58" t="s">
        <v>8</v>
      </c>
      <c r="D44" s="89">
        <v>0.5</v>
      </c>
      <c r="E44" s="90">
        <v>0.99575999999999998</v>
      </c>
      <c r="F44" s="90">
        <f t="shared" ref="F44:F46" si="3">-LN(E44)/D44</f>
        <v>8.4980285788298412E-3</v>
      </c>
      <c r="G44" s="91"/>
      <c r="H44" s="57"/>
      <c r="I44" s="89">
        <v>0.5</v>
      </c>
      <c r="J44" s="90">
        <v>0.99575999999999998</v>
      </c>
      <c r="K44" s="90">
        <f t="shared" si="2"/>
        <v>8.4980285788298412E-3</v>
      </c>
      <c r="L44" s="91"/>
      <c r="M44" s="57"/>
      <c r="N44" s="57"/>
    </row>
    <row r="45" spans="1:16" ht="18.75" x14ac:dyDescent="0.3">
      <c r="A45" s="57"/>
      <c r="B45" s="57"/>
      <c r="C45" s="58" t="s">
        <v>34</v>
      </c>
      <c r="D45" s="89">
        <f>10/12</f>
        <v>0.83333333333333337</v>
      </c>
      <c r="E45" s="93">
        <f>EXP(-F45*D45)</f>
        <v>0.99101243852804399</v>
      </c>
      <c r="F45" s="90">
        <f>(F46-F44)/(D46-D44)*(D45-D44)+F44</f>
        <v>1.0833831887341369E-2</v>
      </c>
      <c r="G45" s="91"/>
      <c r="H45" s="57"/>
      <c r="I45" s="89">
        <f>10/12</f>
        <v>0.83333333333333337</v>
      </c>
      <c r="J45" s="97">
        <f>EXP(LN(J44)+(LN(J46)-LN(J44))/(I46-I44)*(I45-I44))</f>
        <v>0.99062671192592344</v>
      </c>
      <c r="K45" s="90">
        <f t="shared" si="2"/>
        <v>1.1300992549043615E-2</v>
      </c>
      <c r="L45" s="91"/>
      <c r="M45" s="57"/>
      <c r="N45" s="57"/>
    </row>
    <row r="46" spans="1:16" ht="19.5" thickBot="1" x14ac:dyDescent="0.35">
      <c r="A46" s="57"/>
      <c r="B46" s="57"/>
      <c r="C46" s="58" t="s">
        <v>9</v>
      </c>
      <c r="D46" s="94">
        <v>1</v>
      </c>
      <c r="E46" s="95">
        <v>0.98807</v>
      </c>
      <c r="F46" s="95">
        <f t="shared" si="3"/>
        <v>1.2001733541597132E-2</v>
      </c>
      <c r="G46" s="96"/>
      <c r="H46" s="57"/>
      <c r="I46" s="94">
        <v>1</v>
      </c>
      <c r="J46" s="95">
        <v>0.98807</v>
      </c>
      <c r="K46" s="95">
        <f t="shared" si="2"/>
        <v>1.2001733541597132E-2</v>
      </c>
      <c r="L46" s="96"/>
      <c r="M46" s="57"/>
      <c r="N46" s="57"/>
    </row>
    <row r="47" spans="1:16" ht="18.75" x14ac:dyDescent="0.3">
      <c r="A47" s="57"/>
      <c r="B47" s="57"/>
      <c r="C47" s="57"/>
      <c r="D47" s="57"/>
      <c r="E47" s="57"/>
      <c r="F47" s="57"/>
      <c r="G47" s="57"/>
      <c r="H47" s="57"/>
      <c r="I47" s="57"/>
      <c r="J47" s="84"/>
      <c r="K47" s="84"/>
      <c r="L47" s="84"/>
      <c r="M47" s="84"/>
      <c r="N47" s="57"/>
      <c r="O47" s="57"/>
    </row>
    <row r="48" spans="1:16" ht="18.75" x14ac:dyDescent="0.3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</row>
    <row r="49" spans="1:15" ht="18.75" x14ac:dyDescent="0.3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</row>
    <row r="50" spans="1:15" ht="18.75" x14ac:dyDescent="0.3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</row>
    <row r="51" spans="1:15" ht="18.75" x14ac:dyDescent="0.3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5" ht="18.75" x14ac:dyDescent="0.3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5" ht="18.75" x14ac:dyDescent="0.3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5" ht="18.75" x14ac:dyDescent="0.3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</row>
    <row r="55" spans="1:15" ht="18.75" x14ac:dyDescent="0.3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</row>
    <row r="56" spans="1:15" ht="18.75" x14ac:dyDescent="0.3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</row>
    <row r="57" spans="1:15" ht="18.75" x14ac:dyDescent="0.3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5" ht="18.75" x14ac:dyDescent="0.3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</row>
    <row r="59" spans="1:15" ht="18.75" x14ac:dyDescent="0.3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</row>
    <row r="60" spans="1:15" ht="18.75" x14ac:dyDescent="0.3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</row>
    <row r="61" spans="1:15" ht="18.75" x14ac:dyDescent="0.3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</row>
    <row r="62" spans="1:15" ht="18.75" x14ac:dyDescent="0.3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</row>
    <row r="63" spans="1:15" ht="18.75" x14ac:dyDescent="0.3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</row>
    <row r="64" spans="1:15" ht="18.75" x14ac:dyDescent="0.3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</row>
    <row r="65" spans="1:15" ht="18.75" x14ac:dyDescent="0.3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</row>
    <row r="66" spans="1:15" ht="18.75" x14ac:dyDescent="0.3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</row>
    <row r="67" spans="1:15" ht="18.75" x14ac:dyDescent="0.3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</row>
    <row r="68" spans="1:15" ht="18.75" x14ac:dyDescent="0.3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</row>
    <row r="69" spans="1:15" ht="18.75" x14ac:dyDescent="0.3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</row>
    <row r="70" spans="1:15" ht="18.75" x14ac:dyDescent="0.3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</row>
    <row r="71" spans="1:15" ht="18.75" x14ac:dyDescent="0.3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</row>
    <row r="72" spans="1:15" ht="18.75" x14ac:dyDescent="0.3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</row>
    <row r="73" spans="1:15" ht="18.75" x14ac:dyDescent="0.3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</row>
    <row r="74" spans="1:15" ht="18.75" x14ac:dyDescent="0.3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</row>
    <row r="75" spans="1:15" ht="18.75" x14ac:dyDescent="0.3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</row>
    <row r="76" spans="1:15" ht="18.75" x14ac:dyDescent="0.3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</row>
    <row r="77" spans="1:15" ht="18.75" x14ac:dyDescent="0.3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</row>
    <row r="78" spans="1:15" ht="18.75" x14ac:dyDescent="0.3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</row>
    <row r="79" spans="1:15" ht="18.75" x14ac:dyDescent="0.3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</row>
    <row r="80" spans="1:15" ht="18.75" x14ac:dyDescent="0.3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</row>
    <row r="81" spans="1:15" ht="18.75" x14ac:dyDescent="0.3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</row>
    <row r="82" spans="1:15" ht="18.75" x14ac:dyDescent="0.3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</row>
    <row r="83" spans="1:15" ht="18.75" x14ac:dyDescent="0.3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</row>
    <row r="84" spans="1:15" ht="18.75" x14ac:dyDescent="0.3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</row>
    <row r="85" spans="1:15" ht="18.75" x14ac:dyDescent="0.3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</row>
    <row r="86" spans="1:15" ht="18.75" x14ac:dyDescent="0.3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</row>
    <row r="87" spans="1:15" ht="18.75" x14ac:dyDescent="0.3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</row>
    <row r="88" spans="1:15" ht="18.75" x14ac:dyDescent="0.3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</row>
    <row r="89" spans="1:15" ht="18.75" x14ac:dyDescent="0.3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</row>
    <row r="90" spans="1:15" ht="18.75" x14ac:dyDescent="0.3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</row>
    <row r="91" spans="1:15" ht="18.75" x14ac:dyDescent="0.3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</row>
    <row r="92" spans="1:15" ht="18.75" x14ac:dyDescent="0.3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</row>
    <row r="93" spans="1:15" ht="18.75" x14ac:dyDescent="0.3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</row>
    <row r="94" spans="1:15" ht="18.75" x14ac:dyDescent="0.3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</row>
    <row r="95" spans="1:15" ht="18.75" x14ac:dyDescent="0.3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</row>
    <row r="96" spans="1:15" ht="18.75" x14ac:dyDescent="0.3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</row>
    <row r="97" spans="1:15" ht="18.75" x14ac:dyDescent="0.3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</row>
    <row r="98" spans="1:15" ht="18.75" x14ac:dyDescent="0.3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</row>
    <row r="99" spans="1:15" ht="18.75" x14ac:dyDescent="0.3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</row>
    <row r="100" spans="1:15" ht="18.75" x14ac:dyDescent="0.3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</row>
    <row r="101" spans="1:15" ht="18.75" x14ac:dyDescent="0.3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</row>
    <row r="102" spans="1:15" ht="18.75" x14ac:dyDescent="0.3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</row>
    <row r="103" spans="1:15" ht="18.75" x14ac:dyDescent="0.3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</row>
  </sheetData>
  <mergeCells count="2">
    <mergeCell ref="D37:G37"/>
    <mergeCell ref="I37:L37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47"/>
  <sheetViews>
    <sheetView topLeftCell="A37" workbookViewId="0">
      <selection activeCell="C32" sqref="C32"/>
    </sheetView>
  </sheetViews>
  <sheetFormatPr defaultColWidth="11" defaultRowHeight="15.75" x14ac:dyDescent="0.25"/>
  <cols>
    <col min="2" max="2" width="11.5" customWidth="1"/>
    <col min="3" max="3" width="16.125" customWidth="1"/>
    <col min="4" max="4" width="25.125" customWidth="1"/>
    <col min="5" max="5" width="20.5" customWidth="1"/>
    <col min="6" max="6" width="19" customWidth="1"/>
    <col min="12" max="12" width="14.625" customWidth="1"/>
  </cols>
  <sheetData>
    <row r="1" spans="1:16" ht="26.25" x14ac:dyDescent="0.4">
      <c r="A1" s="54" t="s">
        <v>65</v>
      </c>
      <c r="B1" s="55"/>
    </row>
    <row r="2" spans="1:16" ht="18.75" x14ac:dyDescent="0.3">
      <c r="A2" s="57"/>
      <c r="B2" s="70" t="s">
        <v>70</v>
      </c>
      <c r="C2" s="70"/>
      <c r="D2" s="76"/>
      <c r="E2" s="76"/>
      <c r="F2" s="76"/>
      <c r="G2" s="76"/>
      <c r="H2" s="76"/>
      <c r="I2" s="76"/>
      <c r="J2" s="76"/>
      <c r="K2" s="76"/>
      <c r="L2" s="85"/>
      <c r="M2" s="57"/>
      <c r="N2" s="57"/>
      <c r="O2" s="57"/>
      <c r="P2" s="57"/>
    </row>
    <row r="3" spans="1:16" ht="18.75" x14ac:dyDescent="0.3">
      <c r="A3" s="57"/>
      <c r="B3" s="70" t="s">
        <v>66</v>
      </c>
      <c r="C3" s="70"/>
      <c r="D3" s="76"/>
      <c r="E3" s="76"/>
      <c r="F3" s="76"/>
      <c r="G3" s="76"/>
      <c r="H3" s="76"/>
      <c r="I3" s="76"/>
      <c r="J3" s="76"/>
      <c r="K3" s="76"/>
      <c r="L3" s="57"/>
      <c r="M3" s="57"/>
      <c r="N3" s="57"/>
      <c r="O3" s="57"/>
      <c r="P3" s="57"/>
    </row>
    <row r="4" spans="1:16" ht="18.75" x14ac:dyDescent="0.3">
      <c r="A4" s="57"/>
      <c r="B4" s="70" t="s">
        <v>67</v>
      </c>
      <c r="C4" s="76"/>
      <c r="D4" s="76"/>
      <c r="E4" s="76"/>
      <c r="F4" s="76"/>
      <c r="G4" s="76"/>
      <c r="H4" s="76"/>
      <c r="I4" s="57"/>
      <c r="J4" s="57"/>
      <c r="K4" s="57"/>
      <c r="L4" s="57"/>
      <c r="M4" s="57"/>
      <c r="N4" s="57"/>
      <c r="O4" s="57"/>
      <c r="P4" s="57"/>
    </row>
    <row r="5" spans="1:16" ht="19.5" thickBot="1" x14ac:dyDescent="0.35">
      <c r="A5" s="57"/>
      <c r="B5" s="69"/>
      <c r="C5" s="85"/>
      <c r="D5" s="85"/>
      <c r="E5" s="85"/>
      <c r="F5" s="85"/>
      <c r="G5" s="85"/>
      <c r="H5" s="85"/>
      <c r="I5" s="57"/>
      <c r="J5" s="57"/>
      <c r="K5" s="57"/>
      <c r="L5" s="57"/>
      <c r="M5" s="57"/>
      <c r="N5" s="57"/>
      <c r="O5" s="57"/>
      <c r="P5" s="57"/>
    </row>
    <row r="6" spans="1:16" ht="18.75" x14ac:dyDescent="0.3">
      <c r="A6" s="57"/>
      <c r="B6" s="69"/>
      <c r="C6" s="57"/>
      <c r="D6" s="65" t="s">
        <v>45</v>
      </c>
      <c r="E6" s="99" t="s">
        <v>46</v>
      </c>
      <c r="F6" s="85"/>
      <c r="G6" s="85"/>
      <c r="H6" s="85"/>
      <c r="I6" s="57"/>
      <c r="J6" s="57"/>
      <c r="K6" s="57"/>
      <c r="L6" s="57"/>
      <c r="M6" s="57"/>
      <c r="N6" s="57"/>
      <c r="O6" s="57"/>
      <c r="P6" s="57"/>
    </row>
    <row r="7" spans="1:16" ht="18.75" x14ac:dyDescent="0.3">
      <c r="A7" s="57"/>
      <c r="B7" s="69"/>
      <c r="C7" s="58" t="s">
        <v>9</v>
      </c>
      <c r="D7" s="98">
        <v>1</v>
      </c>
      <c r="E7" s="91">
        <v>1.2500000000000001E-2</v>
      </c>
      <c r="F7" s="85"/>
      <c r="G7" s="85"/>
      <c r="H7" s="85"/>
      <c r="I7" s="57"/>
      <c r="J7" s="57"/>
      <c r="K7" s="57"/>
      <c r="L7" s="57"/>
      <c r="M7" s="57"/>
      <c r="N7" s="57"/>
      <c r="O7" s="57"/>
      <c r="P7" s="57"/>
    </row>
    <row r="8" spans="1:16" ht="19.5" thickBot="1" x14ac:dyDescent="0.35">
      <c r="A8" s="57"/>
      <c r="B8" s="69"/>
      <c r="C8" s="58" t="s">
        <v>69</v>
      </c>
      <c r="D8" s="100">
        <v>3</v>
      </c>
      <c r="E8" s="96">
        <v>1.6E-2</v>
      </c>
      <c r="F8" s="85"/>
      <c r="G8" s="85"/>
      <c r="H8" s="85"/>
      <c r="I8" s="57"/>
      <c r="J8" s="57"/>
      <c r="K8" s="57"/>
      <c r="L8" s="57"/>
      <c r="M8" s="57"/>
      <c r="N8" s="57"/>
      <c r="O8" s="57"/>
      <c r="P8" s="57"/>
    </row>
    <row r="9" spans="1:16" ht="18.75" x14ac:dyDescent="0.3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</row>
    <row r="10" spans="1:16" ht="18.75" x14ac:dyDescent="0.3">
      <c r="A10" s="57"/>
      <c r="B10" s="70" t="s">
        <v>0</v>
      </c>
      <c r="C10" s="70" t="s">
        <v>68</v>
      </c>
      <c r="D10" s="70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</row>
    <row r="11" spans="1:16" ht="18.75" x14ac:dyDescent="0.3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</row>
    <row r="12" spans="1:16" ht="18.75" x14ac:dyDescent="0.3">
      <c r="A12" s="57"/>
      <c r="B12" s="57"/>
      <c r="C12" s="68" t="s">
        <v>71</v>
      </c>
      <c r="D12" s="68"/>
      <c r="E12" s="101">
        <f>(E8*D8-E7*D7)/(D8-D7)</f>
        <v>1.7750000000000002E-2</v>
      </c>
      <c r="F12" s="2" t="s">
        <v>75</v>
      </c>
      <c r="G12" s="57"/>
      <c r="H12" s="57"/>
      <c r="I12" s="57"/>
      <c r="J12" s="57"/>
      <c r="K12" s="57"/>
      <c r="L12" s="57"/>
      <c r="M12" s="57"/>
      <c r="N12" s="57"/>
      <c r="O12" s="57"/>
      <c r="P12" s="57"/>
    </row>
    <row r="13" spans="1:16" ht="18.75" x14ac:dyDescent="0.3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</row>
    <row r="14" spans="1:16" ht="18.75" x14ac:dyDescent="0.3">
      <c r="A14" s="57"/>
      <c r="B14" s="70" t="s">
        <v>72</v>
      </c>
      <c r="C14" s="70" t="s">
        <v>73</v>
      </c>
      <c r="D14" s="70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</row>
    <row r="15" spans="1:16" ht="18.75" x14ac:dyDescent="0.3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</row>
    <row r="16" spans="1:16" ht="18.75" x14ac:dyDescent="0.3">
      <c r="A16" s="57"/>
      <c r="B16" s="57"/>
      <c r="C16" s="68" t="s">
        <v>76</v>
      </c>
      <c r="D16" s="68"/>
      <c r="E16" s="101">
        <f>(E8-E7)/(D8-D7)</f>
        <v>1.7499999999999998E-3</v>
      </c>
      <c r="G16" s="69"/>
      <c r="H16" s="69"/>
      <c r="I16" s="57"/>
      <c r="J16" s="57"/>
      <c r="K16" s="57"/>
      <c r="L16" s="57"/>
      <c r="M16" s="57"/>
      <c r="N16" s="57"/>
      <c r="O16" s="57"/>
      <c r="P16" s="57"/>
    </row>
    <row r="17" spans="1:16" ht="18.75" x14ac:dyDescent="0.3">
      <c r="A17" s="57"/>
      <c r="B17" s="57"/>
      <c r="C17" s="57"/>
      <c r="D17" s="102" t="s">
        <v>77</v>
      </c>
      <c r="E17" s="101">
        <f>E7-E16</f>
        <v>1.0750000000000001E-2</v>
      </c>
      <c r="G17" s="57"/>
      <c r="H17" s="57"/>
      <c r="I17" s="57"/>
      <c r="J17" s="57"/>
      <c r="K17" s="57"/>
      <c r="L17" s="57"/>
      <c r="M17" s="57"/>
      <c r="N17" s="57"/>
      <c r="O17" s="57"/>
      <c r="P17" s="57"/>
    </row>
    <row r="18" spans="1:16" ht="18.75" x14ac:dyDescent="0.3">
      <c r="A18" s="57"/>
      <c r="B18" s="57"/>
      <c r="C18" s="68" t="s">
        <v>74</v>
      </c>
      <c r="D18" s="102"/>
      <c r="E18" s="103"/>
      <c r="F18" s="102"/>
      <c r="G18" s="68"/>
      <c r="H18" s="68"/>
      <c r="I18" s="68"/>
      <c r="J18" s="68"/>
      <c r="K18" s="68"/>
      <c r="L18" s="68"/>
      <c r="M18" s="57"/>
      <c r="N18" s="57"/>
      <c r="O18" s="57"/>
      <c r="P18" s="57"/>
    </row>
    <row r="19" spans="1:16" ht="18.75" x14ac:dyDescent="0.3">
      <c r="A19" s="57"/>
      <c r="B19" s="57"/>
      <c r="C19" s="68" t="s">
        <v>88</v>
      </c>
      <c r="D19" s="102"/>
      <c r="E19" s="103"/>
      <c r="F19" s="102"/>
      <c r="G19" s="68"/>
      <c r="H19" s="68"/>
      <c r="I19" s="68"/>
      <c r="J19" s="68"/>
      <c r="K19" s="68"/>
      <c r="L19" s="68"/>
      <c r="M19" s="57"/>
      <c r="N19" s="57"/>
      <c r="O19" s="57"/>
      <c r="P19" s="57"/>
    </row>
    <row r="20" spans="1:16" ht="18.75" x14ac:dyDescent="0.3">
      <c r="A20" s="57"/>
      <c r="B20" s="58"/>
      <c r="C20" s="68" t="s">
        <v>78</v>
      </c>
      <c r="D20" s="68"/>
      <c r="E20" s="104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</row>
    <row r="21" spans="1:16" ht="19.5" thickBot="1" x14ac:dyDescent="0.3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</row>
    <row r="22" spans="1:16" ht="37.5" x14ac:dyDescent="0.3">
      <c r="A22" s="57"/>
      <c r="B22" s="57"/>
      <c r="C22" s="57"/>
      <c r="D22" s="65" t="s">
        <v>45</v>
      </c>
      <c r="E22" s="99" t="s">
        <v>79</v>
      </c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</row>
    <row r="23" spans="1:16" ht="18.75" x14ac:dyDescent="0.3">
      <c r="A23" s="57"/>
      <c r="B23" s="57"/>
      <c r="C23" s="57"/>
      <c r="D23" s="98">
        <v>1</v>
      </c>
      <c r="E23" s="105">
        <f>2*E16*D23+E17</f>
        <v>1.4250000000000001E-2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</row>
    <row r="24" spans="1:16" ht="19.5" thickBot="1" x14ac:dyDescent="0.35">
      <c r="A24" s="57"/>
      <c r="B24" s="57"/>
      <c r="C24" s="57"/>
      <c r="D24" s="100">
        <v>3</v>
      </c>
      <c r="E24" s="106">
        <f>2*E16*D24+E17</f>
        <v>2.1249999999999998E-2</v>
      </c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</row>
    <row r="25" spans="1:16" ht="18.75" x14ac:dyDescent="0.3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</row>
    <row r="26" spans="1:16" ht="18.75" x14ac:dyDescent="0.3">
      <c r="A26" s="57"/>
      <c r="B26" s="67" t="s">
        <v>14</v>
      </c>
      <c r="C26" s="29" t="s">
        <v>80</v>
      </c>
      <c r="D26" s="29"/>
      <c r="E26" s="29"/>
      <c r="F26" s="76"/>
      <c r="G26" s="76"/>
      <c r="H26" s="76"/>
      <c r="I26" s="76"/>
      <c r="J26" s="76"/>
      <c r="K26" s="57"/>
      <c r="L26" s="57"/>
      <c r="M26" s="57"/>
      <c r="N26" s="57"/>
      <c r="O26" s="57"/>
      <c r="P26" s="57"/>
    </row>
    <row r="27" spans="1:16" ht="18.75" x14ac:dyDescent="0.3">
      <c r="A27" s="57"/>
      <c r="B27" s="57"/>
      <c r="C27" s="29" t="s">
        <v>81</v>
      </c>
      <c r="D27" s="29"/>
      <c r="E27" s="2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16" ht="18.75" x14ac:dyDescent="0.3">
      <c r="A28" s="57"/>
      <c r="B28" s="57"/>
      <c r="E28" s="57"/>
      <c r="F28" s="57"/>
      <c r="I28" s="57"/>
      <c r="J28" s="57"/>
      <c r="K28" s="57"/>
      <c r="L28" s="57"/>
      <c r="M28" s="57"/>
      <c r="N28" s="57"/>
      <c r="O28" s="57"/>
      <c r="P28" s="57"/>
    </row>
    <row r="29" spans="1:16" ht="21" customHeight="1" x14ac:dyDescent="0.3">
      <c r="A29" s="57"/>
      <c r="D29" s="37" t="s">
        <v>82</v>
      </c>
      <c r="E29" s="37">
        <v>-1.1388889999999999E-3</v>
      </c>
      <c r="I29" s="57"/>
      <c r="J29" s="57"/>
      <c r="K29" s="57"/>
      <c r="L29" s="57"/>
      <c r="M29" s="57"/>
      <c r="N29" s="57"/>
    </row>
    <row r="30" spans="1:16" ht="18.75" x14ac:dyDescent="0.3">
      <c r="A30" s="57"/>
      <c r="D30" s="37" t="s">
        <v>83</v>
      </c>
      <c r="E30" s="37">
        <v>1.6388889999999999E-3</v>
      </c>
      <c r="I30" s="57"/>
      <c r="J30" s="57"/>
      <c r="K30" s="57"/>
      <c r="L30" s="57"/>
      <c r="M30" s="57"/>
      <c r="N30" s="57"/>
      <c r="O30" s="57"/>
      <c r="P30" s="57"/>
    </row>
    <row r="31" spans="1:16" ht="18.75" x14ac:dyDescent="0.3">
      <c r="A31" s="57"/>
      <c r="D31" s="37" t="s">
        <v>84</v>
      </c>
      <c r="E31" s="37">
        <v>0.01</v>
      </c>
      <c r="I31" s="57"/>
      <c r="J31" s="57"/>
      <c r="K31" s="57"/>
      <c r="L31" s="57"/>
      <c r="M31" s="57"/>
      <c r="N31" s="57"/>
      <c r="O31" s="57"/>
      <c r="P31" s="57"/>
    </row>
    <row r="32" spans="1:16" ht="18.75" x14ac:dyDescent="0.3">
      <c r="A32" s="57"/>
      <c r="D32" s="37" t="s">
        <v>85</v>
      </c>
      <c r="E32" s="37">
        <v>2E-3</v>
      </c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</row>
    <row r="33" spans="1:16" ht="19.5" thickBot="1" x14ac:dyDescent="0.3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 ht="37.5" x14ac:dyDescent="0.3">
      <c r="A34" s="57"/>
      <c r="B34" s="57"/>
      <c r="C34" s="57"/>
      <c r="D34" s="65" t="s">
        <v>45</v>
      </c>
      <c r="E34" s="99" t="s">
        <v>79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 ht="18.75" x14ac:dyDescent="0.3">
      <c r="A35" s="57"/>
      <c r="B35" s="57"/>
      <c r="C35" s="57"/>
      <c r="D35" s="98">
        <v>1</v>
      </c>
      <c r="E35" s="105">
        <f>4*$E$29*D35^3+3*$E$30*D35^2+2*$E$31*D35+1*$E$32</f>
        <v>2.2361111000000003E-2</v>
      </c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</row>
    <row r="36" spans="1:16" ht="19.5" thickBot="1" x14ac:dyDescent="0.35">
      <c r="A36" s="57"/>
      <c r="B36" s="57"/>
      <c r="C36" s="57"/>
      <c r="D36" s="100">
        <v>3</v>
      </c>
      <c r="E36" s="105">
        <f>4*$E$29*D36^3+3*$E$30*D36^2+2*$E$31*D36+1*$E$32</f>
        <v>-1.6750008999999996E-2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 ht="18.75" x14ac:dyDescent="0.3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 ht="18.75" x14ac:dyDescent="0.3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</row>
    <row r="39" spans="1:16" ht="18.75" x14ac:dyDescent="0.3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</row>
    <row r="40" spans="1:16" ht="18.75" x14ac:dyDescent="0.3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</row>
    <row r="41" spans="1:16" ht="18.75" x14ac:dyDescent="0.3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 ht="18.75" x14ac:dyDescent="0.3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</row>
    <row r="43" spans="1:16" ht="18.75" x14ac:dyDescent="0.3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 ht="18.75" x14ac:dyDescent="0.3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 ht="18.75" x14ac:dyDescent="0.3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1:16" ht="18.75" x14ac:dyDescent="0.3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</row>
    <row r="47" spans="1:16" ht="18.75" x14ac:dyDescent="0.3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</row>
    <row r="48" spans="1:16" ht="18.75" x14ac:dyDescent="0.3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</row>
    <row r="49" spans="1:16" ht="18.75" x14ac:dyDescent="0.3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</row>
    <row r="50" spans="1:16" ht="18.75" x14ac:dyDescent="0.3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</row>
    <row r="51" spans="1:16" ht="18.75" x14ac:dyDescent="0.3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</row>
    <row r="52" spans="1:16" ht="18.75" x14ac:dyDescent="0.3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</row>
    <row r="53" spans="1:16" ht="18.75" x14ac:dyDescent="0.3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</row>
    <row r="54" spans="1:16" ht="18.75" x14ac:dyDescent="0.3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</row>
    <row r="55" spans="1:16" ht="18.75" x14ac:dyDescent="0.3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8.75" x14ac:dyDescent="0.3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16" ht="18.75" x14ac:dyDescent="0.3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</row>
    <row r="58" spans="1:16" ht="18.75" x14ac:dyDescent="0.3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</row>
    <row r="59" spans="1:16" ht="18.75" x14ac:dyDescent="0.3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</row>
    <row r="60" spans="1:16" ht="18.75" x14ac:dyDescent="0.3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</row>
    <row r="61" spans="1:16" ht="18.75" x14ac:dyDescent="0.3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</row>
    <row r="62" spans="1:16" ht="18.75" x14ac:dyDescent="0.3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</row>
    <row r="63" spans="1:16" ht="18.75" x14ac:dyDescent="0.3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</row>
    <row r="64" spans="1:16" ht="18.75" x14ac:dyDescent="0.3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</row>
    <row r="65" spans="1:16" ht="18.75" x14ac:dyDescent="0.3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</row>
    <row r="66" spans="1:16" ht="18.75" x14ac:dyDescent="0.3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</row>
    <row r="67" spans="1:16" ht="18.75" x14ac:dyDescent="0.3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1:16" ht="18.75" x14ac:dyDescent="0.3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1:16" ht="18.75" x14ac:dyDescent="0.3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1:16" ht="18.75" x14ac:dyDescent="0.3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1:16" ht="18.75" x14ac:dyDescent="0.3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1:16" ht="18.75" x14ac:dyDescent="0.3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1:16" ht="18.75" x14ac:dyDescent="0.3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1:16" ht="18.75" x14ac:dyDescent="0.3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1:16" ht="18.75" x14ac:dyDescent="0.3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1:16" ht="18.75" x14ac:dyDescent="0.3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1:16" ht="18.75" x14ac:dyDescent="0.3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1:16" ht="18.75" x14ac:dyDescent="0.3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1:16" ht="18.75" x14ac:dyDescent="0.3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1:16" ht="18.75" x14ac:dyDescent="0.3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</row>
    <row r="81" spans="1:16" ht="18.75" x14ac:dyDescent="0.3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</row>
    <row r="82" spans="1:16" ht="18.75" x14ac:dyDescent="0.3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</row>
    <row r="83" spans="1:16" ht="18.75" x14ac:dyDescent="0.3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</row>
    <row r="84" spans="1:16" ht="18.75" x14ac:dyDescent="0.3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</row>
    <row r="85" spans="1:16" ht="18.75" x14ac:dyDescent="0.3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</row>
    <row r="86" spans="1:16" ht="18.75" x14ac:dyDescent="0.3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</row>
    <row r="87" spans="1:16" ht="18.75" x14ac:dyDescent="0.3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</row>
    <row r="88" spans="1:16" ht="18.75" x14ac:dyDescent="0.3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</row>
    <row r="89" spans="1:16" ht="18.75" x14ac:dyDescent="0.3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</row>
    <row r="90" spans="1:16" ht="18.75" x14ac:dyDescent="0.3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</row>
    <row r="91" spans="1:16" ht="18.75" x14ac:dyDescent="0.3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</row>
    <row r="92" spans="1:16" ht="18.75" x14ac:dyDescent="0.3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</row>
    <row r="93" spans="1:16" ht="18.75" x14ac:dyDescent="0.3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</row>
    <row r="94" spans="1:16" ht="18.75" x14ac:dyDescent="0.3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</row>
    <row r="95" spans="1:16" ht="18.75" x14ac:dyDescent="0.3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</row>
    <row r="96" spans="1:16" ht="18.75" x14ac:dyDescent="0.3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</row>
    <row r="97" spans="1:16" ht="18.75" x14ac:dyDescent="0.3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</row>
    <row r="98" spans="1:16" ht="18.75" x14ac:dyDescent="0.3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</row>
    <row r="99" spans="1:16" ht="18.75" x14ac:dyDescent="0.3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</row>
    <row r="100" spans="1:16" ht="18.75" x14ac:dyDescent="0.3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1:16" ht="18.75" x14ac:dyDescent="0.3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</row>
    <row r="102" spans="1:16" ht="18.75" x14ac:dyDescent="0.3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</row>
    <row r="103" spans="1:16" ht="18.75" x14ac:dyDescent="0.3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</row>
    <row r="104" spans="1:16" ht="18.75" x14ac:dyDescent="0.3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</row>
    <row r="105" spans="1:16" ht="18.75" x14ac:dyDescent="0.3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</row>
    <row r="106" spans="1:16" ht="18.75" x14ac:dyDescent="0.3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</row>
    <row r="107" spans="1:16" ht="18.75" x14ac:dyDescent="0.3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</row>
    <row r="108" spans="1:16" ht="18.75" x14ac:dyDescent="0.3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</row>
    <row r="109" spans="1:16" ht="18.75" x14ac:dyDescent="0.3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</row>
    <row r="110" spans="1:16" ht="18.75" x14ac:dyDescent="0.3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</row>
    <row r="111" spans="1:16" ht="18.75" x14ac:dyDescent="0.3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</row>
    <row r="112" spans="1:16" ht="18.75" x14ac:dyDescent="0.3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</row>
    <row r="113" spans="1:16" ht="18.75" x14ac:dyDescent="0.3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</row>
    <row r="114" spans="1:16" ht="18.75" x14ac:dyDescent="0.3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</row>
    <row r="115" spans="1:16" ht="18.75" x14ac:dyDescent="0.3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</row>
    <row r="116" spans="1:16" ht="18.75" x14ac:dyDescent="0.3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</row>
    <row r="117" spans="1:16" ht="18.75" x14ac:dyDescent="0.3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</row>
    <row r="118" spans="1:16" ht="18.75" x14ac:dyDescent="0.3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</row>
    <row r="119" spans="1:16" ht="18.75" x14ac:dyDescent="0.3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</row>
    <row r="120" spans="1:16" ht="18.75" x14ac:dyDescent="0.3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</row>
    <row r="121" spans="1:16" ht="18.75" x14ac:dyDescent="0.3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</row>
    <row r="122" spans="1:16" ht="18.75" x14ac:dyDescent="0.3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</row>
    <row r="123" spans="1:16" ht="18.75" x14ac:dyDescent="0.3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</row>
    <row r="124" spans="1:16" ht="18.75" x14ac:dyDescent="0.3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</row>
    <row r="125" spans="1:16" ht="18.75" x14ac:dyDescent="0.3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16" ht="18.75" x14ac:dyDescent="0.3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</row>
    <row r="127" spans="1:16" ht="18.75" x14ac:dyDescent="0.3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</row>
    <row r="128" spans="1:16" ht="18.75" x14ac:dyDescent="0.3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</row>
    <row r="129" spans="1:16" ht="18.75" x14ac:dyDescent="0.3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</row>
    <row r="130" spans="1:16" ht="18.75" x14ac:dyDescent="0.3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</row>
    <row r="131" spans="1:16" ht="18.75" x14ac:dyDescent="0.3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</row>
    <row r="132" spans="1:16" ht="18.75" x14ac:dyDescent="0.3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</row>
    <row r="133" spans="1:16" ht="18.75" x14ac:dyDescent="0.3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</row>
    <row r="134" spans="1:16" ht="18.75" x14ac:dyDescent="0.3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</row>
    <row r="135" spans="1:16" ht="18.75" x14ac:dyDescent="0.3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</row>
    <row r="136" spans="1:16" ht="18.75" x14ac:dyDescent="0.3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</row>
    <row r="137" spans="1:16" ht="18.75" x14ac:dyDescent="0.3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</row>
    <row r="138" spans="1:16" ht="18.75" x14ac:dyDescent="0.3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</row>
    <row r="139" spans="1:16" ht="18.75" x14ac:dyDescent="0.3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</row>
    <row r="140" spans="1:16" ht="18.75" x14ac:dyDescent="0.3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</row>
    <row r="141" spans="1:16" ht="18.75" x14ac:dyDescent="0.3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</row>
    <row r="142" spans="1:16" ht="18.75" x14ac:dyDescent="0.3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</row>
    <row r="143" spans="1:16" ht="18.75" x14ac:dyDescent="0.3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</row>
    <row r="144" spans="1:16" ht="18.75" x14ac:dyDescent="0.3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</row>
    <row r="145" spans="1:16" ht="18.75" x14ac:dyDescent="0.3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</row>
    <row r="146" spans="1:16" ht="18.75" x14ac:dyDescent="0.3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</row>
    <row r="147" spans="1:16" ht="18.75" x14ac:dyDescent="0.3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</row>
  </sheetData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J22"/>
  <sheetViews>
    <sheetView workbookViewId="0">
      <selection activeCell="I8" sqref="I8"/>
    </sheetView>
  </sheetViews>
  <sheetFormatPr defaultColWidth="11" defaultRowHeight="15.75" x14ac:dyDescent="0.25"/>
  <cols>
    <col min="5" max="5" width="14.125" bestFit="1" customWidth="1"/>
    <col min="7" max="7" width="10.5" customWidth="1"/>
    <col min="8" max="8" width="11.75" customWidth="1"/>
    <col min="9" max="9" width="12.5" bestFit="1" customWidth="1"/>
  </cols>
  <sheetData>
    <row r="3" spans="2:8" x14ac:dyDescent="0.25">
      <c r="B3" t="s">
        <v>89</v>
      </c>
      <c r="C3" s="108" t="s">
        <v>87</v>
      </c>
    </row>
    <row r="4" spans="2:8" x14ac:dyDescent="0.25">
      <c r="G4" t="s">
        <v>90</v>
      </c>
    </row>
    <row r="8" spans="2:8" x14ac:dyDescent="0.25">
      <c r="E8" s="110" t="s">
        <v>101</v>
      </c>
      <c r="F8" s="111">
        <v>1.9834570325452716E-2</v>
      </c>
      <c r="G8" s="110" t="s">
        <v>103</v>
      </c>
      <c r="H8" s="111">
        <v>-3.1442242344805901E-2</v>
      </c>
    </row>
    <row r="9" spans="2:8" x14ac:dyDescent="0.25">
      <c r="B9" t="s">
        <v>91</v>
      </c>
      <c r="E9" s="110" t="s">
        <v>102</v>
      </c>
      <c r="F9" s="111">
        <v>-2.1687850174502449E-2</v>
      </c>
      <c r="G9" s="110" t="s">
        <v>104</v>
      </c>
      <c r="H9" s="111">
        <v>2.3337630346704854</v>
      </c>
    </row>
    <row r="10" spans="2:8" x14ac:dyDescent="0.25">
      <c r="C10" s="112" t="s">
        <v>92</v>
      </c>
      <c r="D10" s="112" t="s">
        <v>93</v>
      </c>
      <c r="E10" s="112" t="s">
        <v>94</v>
      </c>
      <c r="F10" s="113" t="s">
        <v>105</v>
      </c>
      <c r="G10" s="113" t="s">
        <v>108</v>
      </c>
      <c r="H10" s="114" t="s">
        <v>109</v>
      </c>
    </row>
    <row r="11" spans="2:8" x14ac:dyDescent="0.25">
      <c r="C11" s="112" t="s">
        <v>7</v>
      </c>
      <c r="D11" s="112">
        <v>0.25</v>
      </c>
      <c r="E11" s="112">
        <v>-2.4860139999999999E-3</v>
      </c>
      <c r="F11">
        <f t="shared" ref="F11:F20" si="0">beta0+beta1*lambda/D11*(1-EXP(-D11/lambda))+beta2*(lambda/D11*(1-EXP(-D11/lambda))-EXP(-D11/lambda))</f>
        <v>-2.3005582333906326E-3</v>
      </c>
      <c r="G11">
        <f t="shared" ref="G11:G20" si="1">E11-F11</f>
        <v>-1.854557666093673E-4</v>
      </c>
      <c r="H11">
        <f t="shared" ref="H11:H20" si="2">G11^2</f>
        <v>3.4393841368668115E-8</v>
      </c>
    </row>
    <row r="12" spans="2:8" x14ac:dyDescent="0.25">
      <c r="C12" s="112" t="s">
        <v>8</v>
      </c>
      <c r="D12" s="112">
        <v>0.5</v>
      </c>
      <c r="E12" s="112">
        <v>-2.6129289999999999E-3</v>
      </c>
      <c r="F12">
        <f t="shared" si="0"/>
        <v>-2.6110554429927399E-3</v>
      </c>
      <c r="G12">
        <f t="shared" si="1"/>
        <v>-1.8735570072600863E-6</v>
      </c>
      <c r="H12">
        <f t="shared" si="2"/>
        <v>3.510215859453371E-12</v>
      </c>
    </row>
    <row r="13" spans="2:8" x14ac:dyDescent="0.25">
      <c r="C13" s="112" t="s">
        <v>9</v>
      </c>
      <c r="D13" s="112">
        <v>1</v>
      </c>
      <c r="E13" s="112">
        <v>-2.6927409999999998E-3</v>
      </c>
      <c r="F13">
        <f t="shared" si="0"/>
        <v>-2.8938674152069891E-3</v>
      </c>
      <c r="G13">
        <f t="shared" si="1"/>
        <v>2.0112641520698927E-4</v>
      </c>
      <c r="H13">
        <f t="shared" si="2"/>
        <v>4.0451834894014242E-8</v>
      </c>
    </row>
    <row r="14" spans="2:8" x14ac:dyDescent="0.25">
      <c r="C14" s="112" t="s">
        <v>95</v>
      </c>
      <c r="D14" s="112">
        <v>2</v>
      </c>
      <c r="E14" s="112">
        <v>-2.2953549999999998E-3</v>
      </c>
      <c r="F14">
        <f t="shared" si="0"/>
        <v>-2.5028193876178275E-3</v>
      </c>
      <c r="G14">
        <f t="shared" si="1"/>
        <v>2.0746438761782768E-4</v>
      </c>
      <c r="H14">
        <f t="shared" si="2"/>
        <v>4.3041472129640252E-8</v>
      </c>
    </row>
    <row r="15" spans="2:8" x14ac:dyDescent="0.25">
      <c r="C15" s="112" t="s">
        <v>69</v>
      </c>
      <c r="D15" s="112">
        <v>3</v>
      </c>
      <c r="E15" s="112">
        <v>-1.3729110000000001E-3</v>
      </c>
      <c r="F15">
        <f t="shared" si="0"/>
        <v>-1.3732929953507392E-3</v>
      </c>
      <c r="G15">
        <f t="shared" si="1"/>
        <v>3.8199535073914909E-7</v>
      </c>
      <c r="H15">
        <f t="shared" si="2"/>
        <v>1.4592044798632554E-13</v>
      </c>
    </row>
    <row r="16" spans="2:8" x14ac:dyDescent="0.25">
      <c r="C16" s="112" t="s">
        <v>96</v>
      </c>
      <c r="D16" s="112">
        <v>5</v>
      </c>
      <c r="E16" s="112">
        <v>1.2952650000000001E-3</v>
      </c>
      <c r="F16">
        <f t="shared" si="0"/>
        <v>1.6366947503750097E-3</v>
      </c>
      <c r="G16">
        <f t="shared" si="1"/>
        <v>-3.4142975037500961E-4</v>
      </c>
      <c r="H16">
        <f t="shared" si="2"/>
        <v>1.1657427444114137E-7</v>
      </c>
    </row>
    <row r="17" spans="2:10" x14ac:dyDescent="0.25">
      <c r="C17" s="112" t="s">
        <v>97</v>
      </c>
      <c r="D17" s="112">
        <v>7</v>
      </c>
      <c r="E17" s="112">
        <v>4.2750380000000001E-3</v>
      </c>
      <c r="F17">
        <f t="shared" si="0"/>
        <v>4.5699402073224142E-3</v>
      </c>
      <c r="G17">
        <f t="shared" si="1"/>
        <v>-2.9490220732241411E-4</v>
      </c>
      <c r="H17">
        <f t="shared" si="2"/>
        <v>8.696731188363212E-8</v>
      </c>
    </row>
    <row r="18" spans="2:10" x14ac:dyDescent="0.25">
      <c r="C18" s="112" t="s">
        <v>98</v>
      </c>
      <c r="D18" s="112">
        <v>10</v>
      </c>
      <c r="E18" s="112">
        <v>8.2868530000000003E-3</v>
      </c>
      <c r="F18">
        <f t="shared" si="0"/>
        <v>8.0391677849309517E-3</v>
      </c>
      <c r="G18">
        <f t="shared" si="1"/>
        <v>2.476852150690486E-4</v>
      </c>
      <c r="H18">
        <f t="shared" si="2"/>
        <v>6.1347965763800863E-8</v>
      </c>
    </row>
    <row r="19" spans="2:10" x14ac:dyDescent="0.25">
      <c r="C19" s="112" t="s">
        <v>99</v>
      </c>
      <c r="D19" s="112">
        <v>20</v>
      </c>
      <c r="E19" s="112">
        <v>1.4627831000000001E-2</v>
      </c>
      <c r="F19">
        <f t="shared" si="0"/>
        <v>1.3642060240148135E-2</v>
      </c>
      <c r="G19">
        <f t="shared" si="1"/>
        <v>9.8577075985186585E-4</v>
      </c>
      <c r="H19">
        <f t="shared" si="2"/>
        <v>9.7174399097892494E-7</v>
      </c>
    </row>
    <row r="20" spans="2:10" x14ac:dyDescent="0.25">
      <c r="C20" s="112" t="s">
        <v>100</v>
      </c>
      <c r="D20" s="112">
        <v>30</v>
      </c>
      <c r="E20" s="112">
        <v>1.4882457E-2</v>
      </c>
      <c r="F20">
        <f t="shared" si="0"/>
        <v>1.5701561774096102E-2</v>
      </c>
      <c r="G20">
        <f t="shared" si="1"/>
        <v>-8.1910477409610251E-4</v>
      </c>
      <c r="H20">
        <f t="shared" si="2"/>
        <v>6.7093263094702709E-7</v>
      </c>
    </row>
    <row r="21" spans="2:10" x14ac:dyDescent="0.25">
      <c r="G21">
        <f>SUMSQ(G11:G20)</f>
        <v>2.0254569785431564E-6</v>
      </c>
      <c r="H21" s="115" t="s">
        <v>110</v>
      </c>
      <c r="I21" s="115"/>
      <c r="J21" s="115">
        <f>SUM(H11:H20)</f>
        <v>2.0254569785431564E-6</v>
      </c>
    </row>
    <row r="22" spans="2:10" x14ac:dyDescent="0.25">
      <c r="B22" t="s">
        <v>111</v>
      </c>
    </row>
  </sheetData>
  <pageMargins left="0.75" right="0.75" top="1" bottom="1" header="0.5" footer="0.5"/>
  <drawing r:id="rId1"/>
  <legacyDrawing r:id="rId2"/>
  <oleObjects>
    <mc:AlternateContent xmlns:mc="http://schemas.openxmlformats.org/markup-compatibility/2006">
      <mc:Choice Requires="x14">
        <oleObject progId="Equation.DSMT4" shapeId="1027" r:id="rId3">
          <objectPr defaultSize="0" autoPict="0" r:id="rId4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371475</xdr:colOff>
                <xdr:row>7</xdr:row>
                <xdr:rowOff>9525</xdr:rowOff>
              </to>
            </anchor>
          </objectPr>
        </oleObject>
      </mc:Choice>
      <mc:Fallback>
        <oleObject progId="Equation.DSMT4" shapeId="1027" r:id="rId3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02"/>
  <sheetViews>
    <sheetView workbookViewId="0">
      <selection activeCell="I2" sqref="I2"/>
    </sheetView>
  </sheetViews>
  <sheetFormatPr defaultRowHeight="15.75" x14ac:dyDescent="0.25"/>
  <cols>
    <col min="3" max="3" width="12.5" bestFit="1" customWidth="1"/>
    <col min="4" max="4" width="14.5" customWidth="1"/>
    <col min="5" max="5" width="8.75" customWidth="1"/>
    <col min="8" max="8" width="11.875" bestFit="1" customWidth="1"/>
    <col min="9" max="9" width="14" customWidth="1"/>
    <col min="10" max="10" width="14.25" customWidth="1"/>
    <col min="11" max="11" width="19.25" customWidth="1"/>
  </cols>
  <sheetData>
    <row r="1" spans="1:10" x14ac:dyDescent="0.25">
      <c r="A1" t="s">
        <v>106</v>
      </c>
      <c r="B1" t="s">
        <v>112</v>
      </c>
      <c r="G1" s="116" t="s">
        <v>107</v>
      </c>
      <c r="H1" t="s">
        <v>114</v>
      </c>
      <c r="I1" t="s">
        <v>113</v>
      </c>
      <c r="J1" t="s">
        <v>144</v>
      </c>
    </row>
    <row r="2" spans="1:10" x14ac:dyDescent="0.25">
      <c r="B2" s="118" t="s">
        <v>93</v>
      </c>
      <c r="C2" s="119" t="s">
        <v>108</v>
      </c>
      <c r="G2" s="117">
        <v>0</v>
      </c>
      <c r="H2">
        <f t="array" ref="H2:H202">INDEX(r_ns_rate(maturities,para),ROW(A1:A201))</f>
        <v>-1.8532798490497326E-3</v>
      </c>
      <c r="I2">
        <f t="array" ref="I2:I202">INDEX(interp_residual_rates(maturities,residual_rates),ROW(A1:A201))</f>
        <v>7.6214549317175889E-20</v>
      </c>
      <c r="J2">
        <f t="array" ref="J2:J202">INDEX(interp_zero_rates(maturities, para, residual_rates),ROW(A1:A201))</f>
        <v>-1.8532798490497326E-3</v>
      </c>
    </row>
    <row r="3" spans="1:10" x14ac:dyDescent="0.25">
      <c r="B3" s="118">
        <v>0</v>
      </c>
      <c r="C3" s="120">
        <v>0</v>
      </c>
      <c r="G3" s="117">
        <v>0.25</v>
      </c>
      <c r="H3">
        <v>-2.3005582333906309E-3</v>
      </c>
      <c r="I3">
        <v>-1.8545576660936744E-4</v>
      </c>
      <c r="J3">
        <v>-2.4860139999999982E-3</v>
      </c>
    </row>
    <row r="4" spans="1:10" x14ac:dyDescent="0.25">
      <c r="B4" s="118">
        <v>0.25</v>
      </c>
      <c r="C4" s="120">
        <f>'Application (i)&amp;(ii)'!G11</f>
        <v>-1.854557666093673E-4</v>
      </c>
      <c r="G4" s="117">
        <v>0.5</v>
      </c>
      <c r="H4">
        <v>-2.6110554429927394E-3</v>
      </c>
      <c r="I4">
        <v>-1.873557007260005E-6</v>
      </c>
      <c r="J4">
        <v>-2.6129289999999995E-3</v>
      </c>
    </row>
    <row r="5" spans="1:10" x14ac:dyDescent="0.25">
      <c r="B5" s="118">
        <v>0.5</v>
      </c>
      <c r="C5" s="120">
        <f>'Application (i)&amp;(ii)'!G12</f>
        <v>-1.8735570072600863E-6</v>
      </c>
      <c r="G5" s="117">
        <v>0.75</v>
      </c>
      <c r="H5">
        <v>-2.8033556828071186E-3</v>
      </c>
      <c r="I5">
        <v>1.4752679492652395E-4</v>
      </c>
      <c r="J5">
        <v>-2.6558288878805944E-3</v>
      </c>
    </row>
    <row r="6" spans="1:10" x14ac:dyDescent="0.25">
      <c r="B6" s="118">
        <v>1</v>
      </c>
      <c r="C6" s="120">
        <f>'Application (i)&amp;(ii)'!G13</f>
        <v>2.0112641520698927E-4</v>
      </c>
      <c r="G6" s="117">
        <v>1</v>
      </c>
      <c r="H6">
        <v>-2.8938674152069899E-3</v>
      </c>
      <c r="I6">
        <v>2.0112641520699036E-4</v>
      </c>
      <c r="J6">
        <v>-2.6927409999999994E-3</v>
      </c>
    </row>
    <row r="7" spans="1:10" x14ac:dyDescent="0.25">
      <c r="B7" s="118">
        <v>2</v>
      </c>
      <c r="C7" s="120">
        <f>'Application (i)&amp;(ii)'!G14</f>
        <v>2.0746438761782768E-4</v>
      </c>
      <c r="G7" s="117">
        <v>1.25</v>
      </c>
      <c r="H7">
        <v>-2.8970639782996046E-3</v>
      </c>
      <c r="I7">
        <v>2.2630223911824243E-4</v>
      </c>
      <c r="J7">
        <v>-2.6707617391813622E-3</v>
      </c>
    </row>
    <row r="8" spans="1:10" x14ac:dyDescent="0.25">
      <c r="B8" s="118">
        <v>3</v>
      </c>
      <c r="C8" s="120">
        <f>'Application (i)&amp;(ii)'!G15</f>
        <v>3.8199535073914909E-7</v>
      </c>
      <c r="G8" s="117">
        <v>1.5</v>
      </c>
      <c r="H8">
        <v>-2.8256983336602654E-3</v>
      </c>
      <c r="I8">
        <v>2.3610466577530183E-4</v>
      </c>
      <c r="J8">
        <v>-2.5895936678849638E-3</v>
      </c>
    </row>
    <row r="9" spans="1:10" x14ac:dyDescent="0.25">
      <c r="B9" s="118">
        <v>5</v>
      </c>
      <c r="C9" s="120">
        <f>'Application (i)&amp;(ii)'!G16</f>
        <v>-3.4142975037500961E-4</v>
      </c>
      <c r="G9" s="117">
        <v>1.75</v>
      </c>
      <c r="H9">
        <v>-2.6909946806289481E-3</v>
      </c>
      <c r="I9">
        <v>2.3000246025091427E-4</v>
      </c>
      <c r="J9">
        <v>-2.4609922203780339E-3</v>
      </c>
    </row>
    <row r="10" spans="1:10" x14ac:dyDescent="0.25">
      <c r="B10" s="118">
        <v>7</v>
      </c>
      <c r="C10" s="120">
        <f>'Application (i)&amp;(ii)'!G17</f>
        <v>-2.9490220732241411E-4</v>
      </c>
      <c r="G10" s="117">
        <v>2</v>
      </c>
      <c r="H10">
        <v>-2.5028193876178249E-3</v>
      </c>
      <c r="I10">
        <v>2.0746438761782668E-4</v>
      </c>
      <c r="J10">
        <v>-2.2953549999999981E-3</v>
      </c>
    </row>
    <row r="11" spans="1:10" x14ac:dyDescent="0.25">
      <c r="B11" s="118">
        <v>10</v>
      </c>
      <c r="C11" s="120">
        <f>'Application (i)&amp;(ii)'!G18</f>
        <v>2.476852150690486E-4</v>
      </c>
      <c r="G11" s="117">
        <v>2.25</v>
      </c>
      <c r="H11">
        <v>-2.2698334340143836E-3</v>
      </c>
      <c r="I11">
        <v>1.6886629525968144E-4</v>
      </c>
      <c r="J11">
        <v>-2.1009671387547022E-3</v>
      </c>
    </row>
    <row r="12" spans="1:10" x14ac:dyDescent="0.25">
      <c r="B12" s="118">
        <v>20</v>
      </c>
      <c r="C12" s="120">
        <f>'Application (i)&amp;(ii)'!G19</f>
        <v>9.8577075985186585E-4</v>
      </c>
      <c r="G12" s="117">
        <v>2.5</v>
      </c>
      <c r="H12">
        <v>-1.9996283261379411E-3</v>
      </c>
      <c r="I12">
        <v>1.1821235980370433E-4</v>
      </c>
      <c r="J12">
        <v>-1.8814159663342368E-3</v>
      </c>
    </row>
    <row r="13" spans="1:10" x14ac:dyDescent="0.25">
      <c r="B13" s="118">
        <v>30</v>
      </c>
      <c r="C13" s="120">
        <f>'Application (i)&amp;(ii)'!G20</f>
        <v>-8.1910477409610251E-4</v>
      </c>
      <c r="G13" s="117">
        <v>2.75</v>
      </c>
      <c r="H13">
        <v>-1.6988472445505767E-3</v>
      </c>
      <c r="I13">
        <v>6.0413840188016212E-5</v>
      </c>
      <c r="J13">
        <v>-1.6384334043625605E-3</v>
      </c>
    </row>
    <row r="14" spans="1:10" x14ac:dyDescent="0.25">
      <c r="B14" s="121">
        <v>50</v>
      </c>
      <c r="C14" s="120">
        <v>0</v>
      </c>
      <c r="G14" s="117">
        <v>3</v>
      </c>
      <c r="H14">
        <v>-1.3732929953507373E-3</v>
      </c>
      <c r="I14">
        <v>3.8199535073719752E-7</v>
      </c>
      <c r="J14">
        <v>-1.3729110000000001E-3</v>
      </c>
    </row>
    <row r="15" spans="1:10" x14ac:dyDescent="0.25">
      <c r="G15" s="117">
        <v>3.25</v>
      </c>
      <c r="H15">
        <v>-1.0280241726624098E-3</v>
      </c>
      <c r="I15">
        <v>-5.769556489427694E-5</v>
      </c>
      <c r="J15">
        <v>-1.0857197375566867E-3</v>
      </c>
    </row>
    <row r="16" spans="1:10" x14ac:dyDescent="0.25">
      <c r="C16" s="110" t="s">
        <v>101</v>
      </c>
      <c r="D16" s="111">
        <v>1.9834570325452716E-2</v>
      </c>
      <c r="G16" s="117">
        <v>3.5</v>
      </c>
      <c r="H16">
        <v>-6.6744079137745808E-4</v>
      </c>
      <c r="I16">
        <v>-1.1252582723024463E-4</v>
      </c>
      <c r="J16">
        <v>-7.7996661860770271E-4</v>
      </c>
    </row>
    <row r="17" spans="3:10" x14ac:dyDescent="0.25">
      <c r="C17" s="110" t="s">
        <v>102</v>
      </c>
      <c r="D17" s="111">
        <v>-2.1687850174502449E-2</v>
      </c>
      <c r="G17" s="117">
        <v>3.75</v>
      </c>
      <c r="H17">
        <v>-2.9536051652218466E-4</v>
      </c>
      <c r="I17">
        <v>-1.6353942746464558E-4</v>
      </c>
      <c r="J17">
        <v>-4.5889994398683024E-4</v>
      </c>
    </row>
    <row r="18" spans="3:10" x14ac:dyDescent="0.25">
      <c r="C18" s="110" t="s">
        <v>103</v>
      </c>
      <c r="D18" s="111">
        <v>-3.1442242344805901E-2</v>
      </c>
      <c r="G18" s="117">
        <v>4</v>
      </c>
      <c r="H18">
        <v>8.4913503204224429E-5</v>
      </c>
      <c r="I18">
        <v>-2.1016700140496158E-4</v>
      </c>
      <c r="J18">
        <v>-1.2525349820073715E-4</v>
      </c>
    </row>
    <row r="19" spans="3:10" x14ac:dyDescent="0.25">
      <c r="C19" s="110" t="s">
        <v>104</v>
      </c>
      <c r="D19" s="111">
        <v>2.3337630346704854</v>
      </c>
      <c r="G19" s="117">
        <v>4.25</v>
      </c>
      <c r="H19">
        <v>4.7053229657210646E-4</v>
      </c>
      <c r="I19">
        <v>-2.5183918485867439E-4</v>
      </c>
      <c r="J19">
        <v>2.1869311171343207E-4</v>
      </c>
    </row>
    <row r="20" spans="3:10" x14ac:dyDescent="0.25">
      <c r="D20" s="109"/>
      <c r="G20" s="117">
        <v>4.5</v>
      </c>
      <c r="H20">
        <v>8.5904741976532107E-4</v>
      </c>
      <c r="I20">
        <v>-2.8798661363326514E-4</v>
      </c>
      <c r="J20">
        <v>5.7106080613205594E-4</v>
      </c>
    </row>
    <row r="21" spans="3:10" x14ac:dyDescent="0.25">
      <c r="G21" s="117">
        <v>4.75</v>
      </c>
      <c r="H21">
        <v>1.2483632745409791E-3</v>
      </c>
      <c r="I21">
        <v>-3.1803992353621603E-4</v>
      </c>
      <c r="J21">
        <v>9.3032335100476306E-4</v>
      </c>
    </row>
    <row r="22" spans="3:10" x14ac:dyDescent="0.25">
      <c r="G22" s="117">
        <v>5</v>
      </c>
      <c r="H22">
        <v>1.6366947503750119E-3</v>
      </c>
      <c r="I22">
        <v>-3.4142975037500852E-4</v>
      </c>
      <c r="J22">
        <v>1.2952650000000033E-3</v>
      </c>
    </row>
    <row r="23" spans="3:10" x14ac:dyDescent="0.25">
      <c r="G23" s="117">
        <v>5.25</v>
      </c>
      <c r="H23">
        <v>2.0225296147127181E-3</v>
      </c>
      <c r="I23">
        <v>-3.5773236069081352E-4</v>
      </c>
      <c r="J23">
        <v>1.6647972540219046E-3</v>
      </c>
    </row>
    <row r="24" spans="3:10" x14ac:dyDescent="0.25">
      <c r="G24" s="117">
        <v>5.5</v>
      </c>
      <c r="H24">
        <v>2.4045951366190631E-3</v>
      </c>
      <c r="I24">
        <v>-3.6710654395956041E-4</v>
      </c>
      <c r="J24">
        <v>2.0374885926595027E-3</v>
      </c>
    </row>
    <row r="25" spans="3:10" x14ac:dyDescent="0.25">
      <c r="G25" s="117">
        <v>5.75</v>
      </c>
      <c r="H25">
        <v>2.7818284838735021E-3</v>
      </c>
      <c r="I25">
        <v>-3.6985672039086502E-4</v>
      </c>
      <c r="J25">
        <v>2.4119717634826371E-3</v>
      </c>
    </row>
    <row r="26" spans="3:10" x14ac:dyDescent="0.25">
      <c r="G26" s="117">
        <v>6</v>
      </c>
      <c r="H26">
        <v>3.1533504825478099E-3</v>
      </c>
      <c r="I26">
        <v>-3.6628731019434837E-4</v>
      </c>
      <c r="J26">
        <v>2.7870631723534616E-3</v>
      </c>
    </row>
    <row r="27" spans="3:10" x14ac:dyDescent="0.25">
      <c r="G27" s="117">
        <v>6.25</v>
      </c>
      <c r="H27">
        <v>3.5184423719440421E-3</v>
      </c>
      <c r="I27">
        <v>-3.5670273357962627E-4</v>
      </c>
      <c r="J27">
        <v>3.1617396383644158E-3</v>
      </c>
    </row>
    <row r="28" spans="3:10" x14ac:dyDescent="0.25">
      <c r="G28" s="117">
        <v>6.5</v>
      </c>
      <c r="H28">
        <v>3.8765252269906823E-3</v>
      </c>
      <c r="I28">
        <v>-3.4140741075631802E-4</v>
      </c>
      <c r="J28">
        <v>3.5351178162343643E-3</v>
      </c>
    </row>
    <row r="29" spans="3:10" x14ac:dyDescent="0.25">
      <c r="G29" s="117">
        <v>6.75</v>
      </c>
      <c r="H29">
        <v>4.2271417552812085E-3</v>
      </c>
      <c r="I29">
        <v>-3.2070576193404116E-4</v>
      </c>
      <c r="J29">
        <v>3.9064359933471673E-3</v>
      </c>
    </row>
    <row r="30" spans="3:10" x14ac:dyDescent="0.25">
      <c r="G30" s="117">
        <v>7</v>
      </c>
      <c r="H30">
        <v>4.5699402073224142E-3</v>
      </c>
      <c r="I30">
        <v>-2.9490220732241324E-4</v>
      </c>
      <c r="J30">
        <v>4.275038000000001E-3</v>
      </c>
    </row>
    <row r="31" spans="3:10" x14ac:dyDescent="0.25">
      <c r="G31" s="117">
        <v>7.25</v>
      </c>
      <c r="H31">
        <v>4.904660166627545E-3</v>
      </c>
      <c r="I31">
        <v>-2.6433252993673028E-4</v>
      </c>
      <c r="J31">
        <v>4.6403276366908143E-3</v>
      </c>
    </row>
    <row r="32" spans="3:10" x14ac:dyDescent="0.25">
      <c r="G32" s="117">
        <v>7.5</v>
      </c>
      <c r="H32">
        <v>5.2311200113884185E-3</v>
      </c>
      <c r="I32">
        <v>-2.2945796401501904E-4</v>
      </c>
      <c r="J32">
        <v>5.0016620473733991E-3</v>
      </c>
    </row>
    <row r="33" spans="7:10" x14ac:dyDescent="0.25">
      <c r="G33" s="117">
        <v>7.75</v>
      </c>
      <c r="H33">
        <v>5.5492058619022438E-3</v>
      </c>
      <c r="I33">
        <v>-1.9077110660098385E-4</v>
      </c>
      <c r="J33">
        <v>5.3584347553012595E-3</v>
      </c>
    </row>
    <row r="34" spans="7:10" x14ac:dyDescent="0.25">
      <c r="G34" s="117">
        <v>8</v>
      </c>
      <c r="H34">
        <v>5.8588618479914695E-3</v>
      </c>
      <c r="I34">
        <v>-1.4876455473832517E-4</v>
      </c>
      <c r="J34">
        <v>5.7100972932531448E-3</v>
      </c>
    </row>
    <row r="35" spans="7:10" x14ac:dyDescent="0.25">
      <c r="G35" s="117">
        <v>8.25</v>
      </c>
      <c r="H35">
        <v>6.1600815485881024E-3</v>
      </c>
      <c r="I35">
        <v>-1.0393090547074517E-4</v>
      </c>
      <c r="J35">
        <v>6.0561506431173577E-3</v>
      </c>
    </row>
    <row r="36" spans="7:10" x14ac:dyDescent="0.25">
      <c r="G36" s="117">
        <v>8.5</v>
      </c>
      <c r="H36">
        <v>6.4529004716813079E-3</v>
      </c>
      <c r="I36">
        <v>-5.6762755841947756E-5</v>
      </c>
      <c r="J36">
        <v>6.3961377158393597E-3</v>
      </c>
    </row>
    <row r="37" spans="7:10" x14ac:dyDescent="0.25">
      <c r="G37" s="117">
        <v>8.75</v>
      </c>
      <c r="H37">
        <v>6.7373894571488863E-3</v>
      </c>
      <c r="I37">
        <v>-7.7527028956333836E-6</v>
      </c>
      <c r="J37">
        <v>6.7296367542532525E-3</v>
      </c>
    </row>
    <row r="38" spans="7:10" x14ac:dyDescent="0.25">
      <c r="G38" s="117">
        <v>9</v>
      </c>
      <c r="H38">
        <v>7.0136488977887781E-3</v>
      </c>
      <c r="I38">
        <v>4.2606656324492304E-5</v>
      </c>
      <c r="J38">
        <v>7.05625555411327E-3</v>
      </c>
    </row>
    <row r="39" spans="7:10" x14ac:dyDescent="0.25">
      <c r="G39" s="117">
        <v>9.25</v>
      </c>
      <c r="H39">
        <v>7.2818036852969423E-3</v>
      </c>
      <c r="I39">
        <v>9.3822724774727129E-5</v>
      </c>
      <c r="J39">
        <v>7.375626410071669E-3</v>
      </c>
    </row>
    <row r="40" spans="7:10" x14ac:dyDescent="0.25">
      <c r="G40" s="117">
        <v>9.5</v>
      </c>
      <c r="H40">
        <v>7.5419987981463679E-3</v>
      </c>
      <c r="I40">
        <v>1.4540290541136718E-4</v>
      </c>
      <c r="J40">
        <v>7.6874017035577346E-3</v>
      </c>
    </row>
    <row r="41" spans="7:10" x14ac:dyDescent="0.25">
      <c r="G41" s="117">
        <v>9.75</v>
      </c>
      <c r="H41">
        <v>7.7943954574377838E-3</v>
      </c>
      <c r="I41">
        <v>1.9685460119071027E-4</v>
      </c>
      <c r="J41">
        <v>7.9912500586284945E-3</v>
      </c>
    </row>
    <row r="42" spans="7:10" x14ac:dyDescent="0.25">
      <c r="G42" s="117">
        <v>10</v>
      </c>
      <c r="H42">
        <v>8.0391677849309534E-3</v>
      </c>
      <c r="I42">
        <v>2.4768521506905597E-4</v>
      </c>
      <c r="J42">
        <v>8.2868530000000089E-3</v>
      </c>
    </row>
    <row r="43" spans="7:10" x14ac:dyDescent="0.25">
      <c r="G43" s="117">
        <v>10.25</v>
      </c>
      <c r="H43">
        <v>8.2764999047297196E-3</v>
      </c>
      <c r="I43">
        <v>2.9747823066222489E-4</v>
      </c>
      <c r="J43">
        <v>8.5739781353919436E-3</v>
      </c>
    </row>
    <row r="44" spans="7:10" x14ac:dyDescent="0.25">
      <c r="G44" s="117">
        <v>10.5</v>
      </c>
      <c r="H44">
        <v>8.5065834365766896E-3</v>
      </c>
      <c r="I44">
        <v>3.4612145422419863E-4</v>
      </c>
      <c r="J44">
        <v>8.8527048908008873E-3</v>
      </c>
    </row>
    <row r="45" spans="7:10" x14ac:dyDescent="0.25">
      <c r="G45" s="117">
        <v>10.75</v>
      </c>
      <c r="H45">
        <v>8.7296153344973444E-3</v>
      </c>
      <c r="I45">
        <v>3.935787726684725E-4</v>
      </c>
      <c r="J45">
        <v>9.1231941071658173E-3</v>
      </c>
    </row>
    <row r="46" spans="7:10" x14ac:dyDescent="0.25">
      <c r="G46" s="117">
        <v>11</v>
      </c>
      <c r="H46">
        <v>8.9457960296925512E-3</v>
      </c>
      <c r="I46">
        <v>4.3981407290854743E-4</v>
      </c>
      <c r="J46">
        <v>9.3856101026010986E-3</v>
      </c>
    </row>
    <row r="47" spans="7:10" x14ac:dyDescent="0.25">
      <c r="G47" s="117">
        <v>11.25</v>
      </c>
      <c r="H47">
        <v>9.1553278411794121E-3</v>
      </c>
      <c r="I47">
        <v>4.8479124185792479E-4</v>
      </c>
      <c r="J47">
        <v>9.6401190830373365E-3</v>
      </c>
    </row>
    <row r="48" spans="7:10" x14ac:dyDescent="0.25">
      <c r="G48" s="117">
        <v>11.5</v>
      </c>
      <c r="H48">
        <v>9.3584136217822241E-3</v>
      </c>
      <c r="I48">
        <v>5.2847416643010637E-4</v>
      </c>
      <c r="J48">
        <v>9.8868877882123309E-3</v>
      </c>
    </row>
    <row r="49" spans="7:10" x14ac:dyDescent="0.25">
      <c r="G49" s="117">
        <v>11.75</v>
      </c>
      <c r="H49">
        <v>9.5552556107314102E-3</v>
      </c>
      <c r="I49">
        <v>5.7082673353859312E-4</v>
      </c>
      <c r="J49">
        <v>1.0126082344270003E-2</v>
      </c>
    </row>
    <row r="50" spans="7:10" x14ac:dyDescent="0.25">
      <c r="G50" s="117">
        <v>12</v>
      </c>
      <c r="H50">
        <v>9.7460544673860332E-3</v>
      </c>
      <c r="I50">
        <v>6.1181283009688553E-4</v>
      </c>
      <c r="J50">
        <v>1.0357867297482918E-2</v>
      </c>
    </row>
    <row r="51" spans="7:10" x14ac:dyDescent="0.25">
      <c r="G51" s="117">
        <v>12.25</v>
      </c>
      <c r="H51">
        <v>9.9310084634974052E-3</v>
      </c>
      <c r="I51">
        <v>6.5139634301848628E-4</v>
      </c>
      <c r="J51">
        <v>1.0582404806515892E-2</v>
      </c>
    </row>
    <row r="52" spans="7:10" x14ac:dyDescent="0.25">
      <c r="G52" s="117">
        <v>12.5</v>
      </c>
      <c r="H52">
        <v>1.0110312814015565E-2</v>
      </c>
      <c r="I52">
        <v>6.8954115921689586E-4</v>
      </c>
      <c r="J52">
        <v>1.0799853973232462E-2</v>
      </c>
    </row>
    <row r="53" spans="7:10" x14ac:dyDescent="0.25">
      <c r="G53" s="117">
        <v>12.75</v>
      </c>
      <c r="H53">
        <v>1.0284159128740806E-2</v>
      </c>
      <c r="I53">
        <v>7.2621116560561607E-4</v>
      </c>
      <c r="J53">
        <v>1.1010370294346421E-2</v>
      </c>
    </row>
    <row r="54" spans="7:10" x14ac:dyDescent="0.25">
      <c r="G54" s="117">
        <v>13</v>
      </c>
      <c r="H54">
        <v>1.0452734969169729E-2</v>
      </c>
      <c r="I54">
        <v>7.6137024909814785E-4</v>
      </c>
      <c r="J54">
        <v>1.1214105218267876E-2</v>
      </c>
    </row>
    <row r="55" spans="7:10" x14ac:dyDescent="0.25">
      <c r="G55" s="117">
        <v>13.25</v>
      </c>
      <c r="H55">
        <v>1.0616223496706332E-2</v>
      </c>
      <c r="I55">
        <v>7.9498229660799257E-4</v>
      </c>
      <c r="J55">
        <v>1.1411205793314325E-2</v>
      </c>
    </row>
    <row r="56" spans="7:10" x14ac:dyDescent="0.25">
      <c r="G56" s="117">
        <v>13.5</v>
      </c>
      <c r="H56">
        <v>1.0774803200028125E-2</v>
      </c>
      <c r="I56">
        <v>8.2701119504865203E-4</v>
      </c>
      <c r="J56">
        <v>1.1601814395076777E-2</v>
      </c>
    </row>
    <row r="57" spans="7:10" x14ac:dyDescent="0.25">
      <c r="G57" s="117">
        <v>13.75</v>
      </c>
      <c r="H57">
        <v>1.0928647690836664E-2</v>
      </c>
      <c r="I57">
        <v>8.574208313336263E-4</v>
      </c>
      <c r="J57">
        <v>1.178606852217029E-2</v>
      </c>
    </row>
    <row r="58" spans="7:10" x14ac:dyDescent="0.25">
      <c r="G58" s="117">
        <v>14</v>
      </c>
      <c r="H58">
        <v>1.107792555850076E-2</v>
      </c>
      <c r="I58">
        <v>8.8617509237641761E-4</v>
      </c>
      <c r="J58">
        <v>1.1964100650877177E-2</v>
      </c>
    </row>
    <row r="59" spans="7:10" x14ac:dyDescent="0.25">
      <c r="G59" s="117">
        <v>14.25</v>
      </c>
      <c r="H59">
        <v>1.1222800275236443E-2</v>
      </c>
      <c r="I59">
        <v>9.1323786509052733E-4</v>
      </c>
      <c r="J59">
        <v>1.2136038140326971E-2</v>
      </c>
    </row>
    <row r="60" spans="7:10" x14ac:dyDescent="0.25">
      <c r="G60" s="117">
        <v>14.5</v>
      </c>
      <c r="H60">
        <v>1.1363430144475817E-2</v>
      </c>
      <c r="I60">
        <v>9.3857303638945639E-4</v>
      </c>
      <c r="J60">
        <v>1.2302003180865273E-2</v>
      </c>
    </row>
    <row r="61" spans="7:10" x14ac:dyDescent="0.25">
      <c r="G61" s="117">
        <v>14.75</v>
      </c>
      <c r="H61">
        <v>1.1499968285971409E-2</v>
      </c>
      <c r="I61">
        <v>9.621444931867066E-4</v>
      </c>
      <c r="J61">
        <v>1.2462112779158116E-2</v>
      </c>
    </row>
    <row r="62" spans="7:10" x14ac:dyDescent="0.25">
      <c r="G62" s="117">
        <v>15</v>
      </c>
      <c r="H62">
        <v>1.1632562651975584E-2</v>
      </c>
      <c r="I62">
        <v>9.8391612239577889E-4</v>
      </c>
      <c r="J62">
        <v>1.2616478774371363E-2</v>
      </c>
    </row>
    <row r="63" spans="7:10" x14ac:dyDescent="0.25">
      <c r="G63" s="117">
        <v>15.25</v>
      </c>
      <c r="H63">
        <v>1.1761356069537481E-2</v>
      </c>
      <c r="I63">
        <v>1.0038518109301738E-3</v>
      </c>
      <c r="J63">
        <v>1.2765207880467654E-2</v>
      </c>
    </row>
    <row r="64" spans="7:10" x14ac:dyDescent="0.25">
      <c r="G64" s="117">
        <v>15.5</v>
      </c>
      <c r="H64">
        <v>1.1886486304582252E-2</v>
      </c>
      <c r="I64">
        <v>1.0219154457033943E-3</v>
      </c>
      <c r="J64">
        <v>1.2908401750285646E-2</v>
      </c>
    </row>
    <row r="65" spans="7:10" x14ac:dyDescent="0.25">
      <c r="G65" s="117">
        <v>15.75</v>
      </c>
      <c r="H65">
        <v>1.2008086143988246E-2</v>
      </c>
      <c r="I65">
        <v>1.0380709136289397E-3</v>
      </c>
      <c r="J65">
        <v>1.3046157057617186E-2</v>
      </c>
    </row>
    <row r="66" spans="7:10" x14ac:dyDescent="0.25">
      <c r="G66" s="117">
        <v>16</v>
      </c>
      <c r="H66">
        <v>1.2126283492364992E-2</v>
      </c>
      <c r="I66">
        <v>1.052282101620314E-3</v>
      </c>
      <c r="J66">
        <v>1.3178565593985307E-2</v>
      </c>
    </row>
    <row r="67" spans="7:10" x14ac:dyDescent="0.25">
      <c r="G67" s="117">
        <v>16.25</v>
      </c>
      <c r="H67">
        <v>1.2241201480665343E-2</v>
      </c>
      <c r="I67">
        <v>1.0645128965910164E-3</v>
      </c>
      <c r="J67">
        <v>1.330571437725636E-2</v>
      </c>
    </row>
    <row r="68" spans="7:10" x14ac:dyDescent="0.25">
      <c r="G68" s="117">
        <v>16.5</v>
      </c>
      <c r="H68">
        <v>1.2352958584145314E-2</v>
      </c>
      <c r="I68">
        <v>1.0747271854545481E-3</v>
      </c>
      <c r="J68">
        <v>1.3427685769599863E-2</v>
      </c>
    </row>
    <row r="69" spans="7:10" x14ac:dyDescent="0.25">
      <c r="G69" s="117">
        <v>16.75</v>
      </c>
      <c r="H69">
        <v>1.2461668747520577E-2</v>
      </c>
      <c r="I69">
        <v>1.0828888551244116E-3</v>
      </c>
      <c r="J69">
        <v>1.3544557602644988E-2</v>
      </c>
    </row>
    <row r="70" spans="7:10" x14ac:dyDescent="0.25">
      <c r="G70" s="117">
        <v>17</v>
      </c>
      <c r="H70">
        <v>1.2567441515464203E-2</v>
      </c>
      <c r="I70">
        <v>1.0889617925141067E-3</v>
      </c>
      <c r="J70">
        <v>1.3656403307978311E-2</v>
      </c>
    </row>
    <row r="71" spans="7:10" x14ac:dyDescent="0.25">
      <c r="G71" s="117">
        <v>17.25</v>
      </c>
      <c r="H71">
        <v>1.2670382166850569E-2</v>
      </c>
      <c r="I71">
        <v>1.0929098845371371E-3</v>
      </c>
      <c r="J71">
        <v>1.3763292051387706E-2</v>
      </c>
    </row>
    <row r="72" spans="7:10" x14ac:dyDescent="0.25">
      <c r="G72" s="117">
        <v>17.5</v>
      </c>
      <c r="H72">
        <v>1.2770591851379314E-2</v>
      </c>
      <c r="I72">
        <v>1.094697018107002E-3</v>
      </c>
      <c r="J72">
        <v>1.3865288869486316E-2</v>
      </c>
    </row>
    <row r="73" spans="7:10" x14ac:dyDescent="0.25">
      <c r="G73" s="117">
        <v>17.75</v>
      </c>
      <c r="H73">
        <v>1.2868167727414387E-2</v>
      </c>
      <c r="I73">
        <v>1.0942870801372026E-3</v>
      </c>
      <c r="J73">
        <v>1.3962454807551591E-2</v>
      </c>
    </row>
    <row r="74" spans="7:10" x14ac:dyDescent="0.25">
      <c r="G74" s="117">
        <v>18</v>
      </c>
      <c r="H74">
        <v>1.2963203100049749E-2</v>
      </c>
      <c r="I74">
        <v>1.0916439575412423E-3</v>
      </c>
      <c r="J74">
        <v>1.4054847057590992E-2</v>
      </c>
    </row>
    <row r="75" spans="7:10" x14ac:dyDescent="0.25">
      <c r="G75" s="117">
        <v>18.25</v>
      </c>
      <c r="H75">
        <v>1.3055787558567903E-2</v>
      </c>
      <c r="I75">
        <v>1.0867315372326204E-3</v>
      </c>
      <c r="J75">
        <v>1.4142519095800523E-2</v>
      </c>
    </row>
    <row r="76" spans="7:10" x14ac:dyDescent="0.25">
      <c r="G76" s="117">
        <v>18.5</v>
      </c>
      <c r="H76">
        <v>1.3146007112592763E-2</v>
      </c>
      <c r="I76">
        <v>1.0795137061248385E-3</v>
      </c>
      <c r="J76">
        <v>1.4225520818717601E-2</v>
      </c>
    </row>
    <row r="77" spans="7:10" x14ac:dyDescent="0.25">
      <c r="G77" s="117">
        <v>18.75</v>
      </c>
      <c r="H77">
        <v>1.3233944326356481E-2</v>
      </c>
      <c r="I77">
        <v>1.0699543511313984E-3</v>
      </c>
      <c r="J77">
        <v>1.4303898677487879E-2</v>
      </c>
    </row>
    <row r="78" spans="7:10" x14ac:dyDescent="0.25">
      <c r="G78" s="117">
        <v>19</v>
      </c>
      <c r="H78">
        <v>1.331967845060293E-2</v>
      </c>
      <c r="I78">
        <v>1.0580173591658022E-3</v>
      </c>
      <c r="J78">
        <v>1.4377695809768732E-2</v>
      </c>
    </row>
    <row r="79" spans="7:10" x14ac:dyDescent="0.25">
      <c r="G79" s="117">
        <v>19.25</v>
      </c>
      <c r="H79">
        <v>1.3403285551740099E-2</v>
      </c>
      <c r="I79">
        <v>1.0436666171415488E-3</v>
      </c>
      <c r="J79">
        <v>1.4446952168881647E-2</v>
      </c>
    </row>
    <row r="80" spans="7:10" x14ac:dyDescent="0.25">
      <c r="G80" s="117">
        <v>19.5</v>
      </c>
      <c r="H80">
        <v>1.348483863793151E-2</v>
      </c>
      <c r="I80">
        <v>1.026866011972142E-3</v>
      </c>
      <c r="J80">
        <v>1.4511704649903652E-2</v>
      </c>
    </row>
    <row r="81" spans="7:10" x14ac:dyDescent="0.25">
      <c r="G81" s="117">
        <v>19.75</v>
      </c>
      <c r="H81">
        <v>1.3564407781884086E-2</v>
      </c>
      <c r="I81">
        <v>1.0075794305710816E-3</v>
      </c>
      <c r="J81">
        <v>1.4571987212455168E-2</v>
      </c>
    </row>
    <row r="82" spans="7:10" x14ac:dyDescent="0.25">
      <c r="G82" s="117">
        <v>20</v>
      </c>
      <c r="H82">
        <v>1.3642060240148135E-2</v>
      </c>
      <c r="I82">
        <v>9.8577075985187019E-4</v>
      </c>
      <c r="J82">
        <v>1.4627831000000004E-2</v>
      </c>
    </row>
    <row r="83" spans="7:10" x14ac:dyDescent="0.25">
      <c r="G83" s="117">
        <v>20.25</v>
      </c>
      <c r="H83">
        <v>1.37178605687951E-2</v>
      </c>
      <c r="I83">
        <v>9.6142810802127103E-4</v>
      </c>
      <c r="J83">
        <v>1.4679288676816371E-2</v>
      </c>
    </row>
    <row r="84" spans="7:10" x14ac:dyDescent="0.25">
      <c r="G84" s="117">
        <v>20.5</v>
      </c>
      <c r="H84">
        <v>1.3791870735381776E-2</v>
      </c>
      <c r="I84">
        <v>9.3463646845908487E-4</v>
      </c>
      <c r="J84">
        <v>1.4726507203840861E-2</v>
      </c>
    </row>
    <row r="85" spans="7:10" x14ac:dyDescent="0.25">
      <c r="G85" s="117">
        <v>20.75</v>
      </c>
      <c r="H85">
        <v>1.3864150227146292E-2</v>
      </c>
      <c r="I85">
        <v>9.0550505583838863E-4</v>
      </c>
      <c r="J85">
        <v>1.476965528298468E-2</v>
      </c>
    </row>
    <row r="86" spans="7:10" x14ac:dyDescent="0.25">
      <c r="G86" s="117">
        <v>21</v>
      </c>
      <c r="H86">
        <v>1.3934756155412405E-2</v>
      </c>
      <c r="I86">
        <v>8.741430848322445E-4</v>
      </c>
      <c r="J86">
        <v>1.4808899240244649E-2</v>
      </c>
    </row>
    <row r="87" spans="7:10" x14ac:dyDescent="0.25">
      <c r="G87" s="117">
        <v>21.25</v>
      </c>
      <c r="H87">
        <v>1.400374335620504E-2</v>
      </c>
      <c r="I87">
        <v>8.4065977011371466E-4</v>
      </c>
      <c r="J87">
        <v>1.4844403126318755E-2</v>
      </c>
    </row>
    <row r="88" spans="7:10" x14ac:dyDescent="0.25">
      <c r="G88" s="117">
        <v>21.5</v>
      </c>
      <c r="H88">
        <v>1.4071164487102125E-2</v>
      </c>
      <c r="I88">
        <v>8.0516432635587519E-4</v>
      </c>
      <c r="J88">
        <v>1.4876328813458E-2</v>
      </c>
    </row>
    <row r="89" spans="7:10" x14ac:dyDescent="0.25">
      <c r="G89" s="117">
        <v>21.75</v>
      </c>
      <c r="H89">
        <v>1.4137070120366307E-2</v>
      </c>
      <c r="I89">
        <v>7.677659682317952E-4</v>
      </c>
      <c r="J89">
        <v>1.4904836088598102E-2</v>
      </c>
    </row>
    <row r="90" spans="7:10" x14ac:dyDescent="0.25">
      <c r="G90" s="117">
        <v>22</v>
      </c>
      <c r="H90">
        <v>1.4201508832415418E-2</v>
      </c>
      <c r="I90">
        <v>7.2857391041454382E-4</v>
      </c>
      <c r="J90">
        <v>1.4930082742829962E-2</v>
      </c>
    </row>
    <row r="91" spans="7:10" x14ac:dyDescent="0.25">
      <c r="G91" s="117">
        <v>22.25</v>
      </c>
      <c r="H91">
        <v>1.4264527289702966E-2</v>
      </c>
      <c r="I91">
        <v>6.8769736757718324E-4</v>
      </c>
      <c r="J91">
        <v>1.4952224657280149E-2</v>
      </c>
    </row>
    <row r="92" spans="7:10" x14ac:dyDescent="0.25">
      <c r="G92" s="117">
        <v>22.5</v>
      </c>
      <c r="H92">
        <v>1.4326170331090099E-2</v>
      </c>
      <c r="I92">
        <v>6.4524555439277563E-4</v>
      </c>
      <c r="J92">
        <v>1.4971415885482875E-2</v>
      </c>
    </row>
    <row r="93" spans="7:10" x14ac:dyDescent="0.25">
      <c r="G93" s="117">
        <v>22.75</v>
      </c>
      <c r="H93">
        <v>1.4386481046798334E-2</v>
      </c>
      <c r="I93">
        <v>6.0132768553440401E-4</v>
      </c>
      <c r="J93">
        <v>1.4987808732332738E-2</v>
      </c>
    </row>
    <row r="94" spans="7:10" x14ac:dyDescent="0.25">
      <c r="G94" s="117">
        <v>23</v>
      </c>
      <c r="H94">
        <v>1.4445500854038546E-2</v>
      </c>
      <c r="I94">
        <v>5.5605297567512361E-4</v>
      </c>
      <c r="J94">
        <v>1.500155382971367E-2</v>
      </c>
    </row>
    <row r="95" spans="7:10" x14ac:dyDescent="0.25">
      <c r="G95" s="117">
        <v>23.25</v>
      </c>
      <c r="H95">
        <v>1.4503269569416253E-2</v>
      </c>
      <c r="I95">
        <v>5.0953063948801051E-4</v>
      </c>
      <c r="J95">
        <v>1.5012800208904263E-2</v>
      </c>
    </row>
    <row r="96" spans="7:10" x14ac:dyDescent="0.25">
      <c r="G96" s="117">
        <v>23.5</v>
      </c>
      <c r="H96">
        <v>1.4559825478216481E-2</v>
      </c>
      <c r="I96">
        <v>4.6186989164612689E-4</v>
      </c>
      <c r="J96">
        <v>1.5021695369862607E-2</v>
      </c>
    </row>
    <row r="97" spans="7:10" x14ac:dyDescent="0.25">
      <c r="G97" s="117">
        <v>23.75</v>
      </c>
      <c r="H97">
        <v>1.4615205400673549E-2</v>
      </c>
      <c r="I97">
        <v>4.1317994682254881E-4</v>
      </c>
      <c r="J97">
        <v>1.5028385347496098E-2</v>
      </c>
    </row>
    <row r="98" spans="7:10" x14ac:dyDescent="0.25">
      <c r="G98" s="117">
        <v>24</v>
      </c>
      <c r="H98">
        <v>1.4669444755332221E-2</v>
      </c>
      <c r="I98">
        <v>3.6357001969033152E-4</v>
      </c>
      <c r="J98">
        <v>1.5033014775022552E-2</v>
      </c>
    </row>
    <row r="99" spans="7:10" x14ac:dyDescent="0.25">
      <c r="G99" s="117">
        <v>24.25</v>
      </c>
      <c r="H99">
        <v>1.4722577619606951E-2</v>
      </c>
      <c r="I99">
        <v>3.1314932492255802E-4</v>
      </c>
      <c r="J99">
        <v>1.5035726944529509E-2</v>
      </c>
    </row>
    <row r="100" spans="7:10" x14ac:dyDescent="0.25">
      <c r="G100" s="117">
        <v>24.5</v>
      </c>
      <c r="H100">
        <v>1.4774636787645507E-2</v>
      </c>
      <c r="I100">
        <v>2.6202707719227662E-4</v>
      </c>
      <c r="J100">
        <v>1.5036663864837783E-2</v>
      </c>
    </row>
    <row r="101" spans="7:10" x14ac:dyDescent="0.25">
      <c r="G101" s="117">
        <v>24.75</v>
      </c>
      <c r="H101">
        <v>1.4825653825602237E-2</v>
      </c>
      <c r="I101">
        <v>2.1031249117256338E-4</v>
      </c>
      <c r="J101">
        <v>1.50359663167748E-2</v>
      </c>
    </row>
    <row r="102" spans="7:10" x14ac:dyDescent="0.25">
      <c r="G102" s="117">
        <v>25</v>
      </c>
      <c r="H102">
        <v>1.4875659124424791E-2</v>
      </c>
      <c r="I102">
        <v>1.5811478153650825E-4</v>
      </c>
      <c r="J102">
        <v>1.5033773905961299E-2</v>
      </c>
    </row>
    <row r="103" spans="7:10" x14ac:dyDescent="0.25">
      <c r="G103" s="117">
        <v>25.25</v>
      </c>
      <c r="H103">
        <v>1.492468195025615E-2</v>
      </c>
      <c r="I103">
        <v>1.0554316295714565E-4</v>
      </c>
      <c r="J103">
        <v>1.5030225113213296E-2</v>
      </c>
    </row>
    <row r="104" spans="7:10" x14ac:dyDescent="0.25">
      <c r="G104" s="117">
        <v>25.5</v>
      </c>
      <c r="H104">
        <v>1.4972750492551673E-2</v>
      </c>
      <c r="I104">
        <v>5.2706850107558587E-5</v>
      </c>
      <c r="J104">
        <v>1.5025457342659232E-2</v>
      </c>
    </row>
    <row r="105" spans="7:10" x14ac:dyDescent="0.25">
      <c r="G105" s="117">
        <v>25.75</v>
      </c>
      <c r="H105">
        <v>1.5019891910008321E-2</v>
      </c>
      <c r="I105">
        <v>-2.8494233918381628E-7</v>
      </c>
      <c r="J105">
        <v>1.5019606967669137E-2</v>
      </c>
    </row>
    <row r="106" spans="7:10" x14ac:dyDescent="0.25">
      <c r="G106" s="117">
        <v>26</v>
      </c>
      <c r="H106">
        <v>1.506613237440064E-2</v>
      </c>
      <c r="I106">
        <v>-5.3322999710012434E-5</v>
      </c>
      <c r="J106">
        <v>1.5012809374690628E-2</v>
      </c>
    </row>
    <row r="107" spans="7:10" x14ac:dyDescent="0.25">
      <c r="G107" s="117">
        <v>26.25</v>
      </c>
      <c r="H107">
        <v>1.5111497112415192E-2</v>
      </c>
      <c r="I107">
        <v>-1.0629810733186508E-4</v>
      </c>
      <c r="J107">
        <v>1.5005199005083326E-2</v>
      </c>
    </row>
    <row r="108" spans="7:10" x14ac:dyDescent="0.25">
      <c r="G108" s="117">
        <v>26.5</v>
      </c>
      <c r="H108">
        <v>1.5156010445572205E-2</v>
      </c>
      <c r="I108">
        <v>-1.5910105053166569E-4</v>
      </c>
      <c r="J108">
        <v>1.4996909395040539E-2</v>
      </c>
    </row>
    <row r="109" spans="7:10" x14ac:dyDescent="0.25">
      <c r="G109" s="117">
        <v>26.75</v>
      </c>
      <c r="H109">
        <v>1.5199695828320271E-2</v>
      </c>
      <c r="I109">
        <v>-2.1162261463636596E-4</v>
      </c>
      <c r="J109">
        <v>1.4988073213683905E-2</v>
      </c>
    </row>
    <row r="110" spans="7:10" x14ac:dyDescent="0.25">
      <c r="G110" s="117">
        <v>27</v>
      </c>
      <c r="H110">
        <v>1.5242575884386775E-2</v>
      </c>
      <c r="I110">
        <v>-2.6375358497288288E-4</v>
      </c>
      <c r="J110">
        <v>1.4978822299413892E-2</v>
      </c>
    </row>
    <row r="111" spans="7:10" x14ac:dyDescent="0.25">
      <c r="G111" s="117">
        <v>27.25</v>
      </c>
      <c r="H111">
        <v>1.5284672441463778E-2</v>
      </c>
      <c r="I111">
        <v>-3.153847468681404E-4</v>
      </c>
      <c r="J111">
        <v>1.4969287694595637E-2</v>
      </c>
    </row>
    <row r="112" spans="7:10" x14ac:dyDescent="0.25">
      <c r="G112" s="117">
        <v>27.5</v>
      </c>
      <c r="H112">
        <v>1.5326006564305952E-2</v>
      </c>
      <c r="I112">
        <v>-3.664068856490902E-4</v>
      </c>
      <c r="J112">
        <v>1.4959599678656862E-2</v>
      </c>
    </row>
    <row r="113" spans="7:10" x14ac:dyDescent="0.25">
      <c r="G113" s="117">
        <v>27.75</v>
      </c>
      <c r="H113">
        <v>1.536659858631418E-2</v>
      </c>
      <c r="I113">
        <v>-4.1671078664264234E-4</v>
      </c>
      <c r="J113">
        <v>1.4949887799671538E-2</v>
      </c>
    </row>
    <row r="114" spans="7:10" x14ac:dyDescent="0.25">
      <c r="G114" s="117">
        <v>28</v>
      </c>
      <c r="H114">
        <v>1.5406468139675398E-2</v>
      </c>
      <c r="I114">
        <v>-4.6618723517574852E-4</v>
      </c>
      <c r="J114">
        <v>1.4940280904499649E-2</v>
      </c>
    </row>
    <row r="115" spans="7:10" x14ac:dyDescent="0.25">
      <c r="G115" s="117">
        <v>28.25</v>
      </c>
      <c r="H115">
        <v>1.5445634184126346E-2</v>
      </c>
      <c r="I115">
        <v>-5.1472701657532573E-4</v>
      </c>
      <c r="J115">
        <v>1.493090716755102E-2</v>
      </c>
    </row>
    <row r="116" spans="7:10" x14ac:dyDescent="0.25">
      <c r="G116" s="117">
        <v>28.5</v>
      </c>
      <c r="H116">
        <v>1.5484115034406033E-2</v>
      </c>
      <c r="I116">
        <v>-5.6222091616831872E-4</v>
      </c>
      <c r="J116">
        <v>1.4921894118237715E-2</v>
      </c>
    </row>
    <row r="117" spans="7:10" x14ac:dyDescent="0.25">
      <c r="G117" s="117">
        <v>28.75</v>
      </c>
      <c r="H117">
        <v>1.5521928386458838E-2</v>
      </c>
      <c r="I117">
        <v>-6.0855971928165144E-4</v>
      </c>
      <c r="J117">
        <v>1.4913368667177187E-2</v>
      </c>
    </row>
    <row r="118" spans="7:10" x14ac:dyDescent="0.25">
      <c r="G118" s="117">
        <v>29</v>
      </c>
      <c r="H118">
        <v>1.5559091342447531E-2</v>
      </c>
      <c r="I118">
        <v>-6.5363421124226169E-4</v>
      </c>
      <c r="J118">
        <v>1.4905457131205269E-2</v>
      </c>
    </row>
    <row r="119" spans="7:10" x14ac:dyDescent="0.25">
      <c r="G119" s="117">
        <v>29.25</v>
      </c>
      <c r="H119">
        <v>1.5595620434632767E-2</v>
      </c>
      <c r="I119">
        <v>-6.9733517737708729E-4</v>
      </c>
      <c r="J119">
        <v>1.4898285257255679E-2</v>
      </c>
    </row>
    <row r="120" spans="7:10" x14ac:dyDescent="0.25">
      <c r="G120" s="117">
        <v>29.5</v>
      </c>
      <c r="H120">
        <v>1.5631531648173096E-2</v>
      </c>
      <c r="I120">
        <v>-7.3955340301304524E-4</v>
      </c>
      <c r="J120">
        <v>1.489197824516005E-2</v>
      </c>
    </row>
    <row r="121" spans="7:10" x14ac:dyDescent="0.25">
      <c r="G121" s="117">
        <v>29.75</v>
      </c>
      <c r="H121">
        <v>1.5666840442896998E-2</v>
      </c>
      <c r="I121">
        <v>-7.8017967347708723E-4</v>
      </c>
      <c r="J121">
        <v>1.4886660769419911E-2</v>
      </c>
    </row>
    <row r="122" spans="7:10" x14ac:dyDescent="0.25">
      <c r="G122" s="117">
        <v>30</v>
      </c>
      <c r="H122">
        <v>1.5701561774096102E-2</v>
      </c>
      <c r="I122">
        <v>-8.1910477409610251E-4</v>
      </c>
      <c r="J122">
        <v>1.4882457E-2</v>
      </c>
    </row>
    <row r="123" spans="7:10" x14ac:dyDescent="0.25">
      <c r="G123" s="117">
        <v>30.25</v>
      </c>
      <c r="H123">
        <v>1.5735710112386447E-2</v>
      </c>
      <c r="I123">
        <v>-8.5624146427699249E-4</v>
      </c>
      <c r="J123">
        <v>1.4879468648109455E-2</v>
      </c>
    </row>
    <row r="124" spans="7:10" x14ac:dyDescent="0.25">
      <c r="G124" s="117">
        <v>30.5</v>
      </c>
      <c r="H124">
        <v>1.5769299462682362E-2</v>
      </c>
      <c r="I124">
        <v>-8.9159039974629622E-4</v>
      </c>
      <c r="J124">
        <v>1.4877709062936065E-2</v>
      </c>
    </row>
    <row r="125" spans="7:10" x14ac:dyDescent="0.25">
      <c r="G125" s="117">
        <v>30.75</v>
      </c>
      <c r="H125">
        <v>1.5802343382325518E-2</v>
      </c>
      <c r="I125">
        <v>-9.2517421031048513E-4</v>
      </c>
      <c r="J125">
        <v>1.4877169172015033E-2</v>
      </c>
    </row>
    <row r="126" spans="7:10" x14ac:dyDescent="0.25">
      <c r="G126" s="117">
        <v>31</v>
      </c>
      <c r="H126">
        <v>1.5834854998409604E-2</v>
      </c>
      <c r="I126">
        <v>-9.5701552577603932E-4</v>
      </c>
      <c r="J126">
        <v>1.4877839472633565E-2</v>
      </c>
    </row>
    <row r="127" spans="7:10" x14ac:dyDescent="0.25">
      <c r="G127" s="117">
        <v>31.25</v>
      </c>
      <c r="H127">
        <v>1.5866847024339079E-2</v>
      </c>
      <c r="I127">
        <v>-9.8713697594943195E-4</v>
      </c>
      <c r="J127">
        <v>1.4879710048389647E-2</v>
      </c>
    </row>
    <row r="128" spans="7:10" x14ac:dyDescent="0.25">
      <c r="G128" s="117">
        <v>31.5</v>
      </c>
      <c r="H128">
        <v>1.5898331775658765E-2</v>
      </c>
      <c r="I128">
        <v>-1.0155611906371501E-3</v>
      </c>
      <c r="J128">
        <v>1.4882770585021615E-2</v>
      </c>
    </row>
    <row r="129" spans="7:10" x14ac:dyDescent="0.25">
      <c r="G129" s="117">
        <v>31.75</v>
      </c>
      <c r="H129">
        <v>1.5929321185188996E-2</v>
      </c>
      <c r="I129">
        <v>-1.042310799645646E-3</v>
      </c>
      <c r="J129">
        <v>1.488701038554335E-2</v>
      </c>
    </row>
    <row r="130" spans="7:10" x14ac:dyDescent="0.25">
      <c r="G130" s="117">
        <v>32</v>
      </c>
      <c r="H130">
        <v>1.5959826817499596E-2</v>
      </c>
      <c r="I130">
        <v>-1.0674084327814103E-3</v>
      </c>
      <c r="J130">
        <v>1.4892418384718185E-2</v>
      </c>
    </row>
    <row r="131" spans="7:10" x14ac:dyDescent="0.25">
      <c r="G131" s="117">
        <v>32.25</v>
      </c>
      <c r="H131">
        <v>1.5989859882754122E-2</v>
      </c>
      <c r="I131">
        <v>-1.0908767198509195E-3</v>
      </c>
      <c r="J131">
        <v>1.4898983162903202E-2</v>
      </c>
    </row>
    <row r="132" spans="7:10" x14ac:dyDescent="0.25">
      <c r="G132" s="117">
        <v>32.5</v>
      </c>
      <c r="H132">
        <v>1.6019431249954429E-2</v>
      </c>
      <c r="I132">
        <v>-1.1127382906606434E-3</v>
      </c>
      <c r="J132">
        <v>1.4906692959293786E-2</v>
      </c>
    </row>
    <row r="133" spans="7:10" x14ac:dyDescent="0.25">
      <c r="G133" s="117">
        <v>32.75</v>
      </c>
      <c r="H133">
        <v>1.6048551459613966E-2</v>
      </c>
      <c r="I133">
        <v>-1.1330157750170655E-3</v>
      </c>
      <c r="J133">
        <v>1.4915535684596901E-2</v>
      </c>
    </row>
    <row r="134" spans="7:10" x14ac:dyDescent="0.25">
      <c r="G134" s="117">
        <v>33</v>
      </c>
      <c r="H134">
        <v>1.6077230735886936E-2</v>
      </c>
      <c r="I134">
        <v>-1.1517318027266521E-3</v>
      </c>
      <c r="J134">
        <v>1.4925498933160284E-2</v>
      </c>
    </row>
    <row r="135" spans="7:10" x14ac:dyDescent="0.25">
      <c r="G135" s="117">
        <v>33.25</v>
      </c>
      <c r="H135">
        <v>1.6105478998179084E-2</v>
      </c>
      <c r="I135">
        <v>-1.1689090035958832E-3</v>
      </c>
      <c r="J135">
        <v>1.4936569994583201E-2</v>
      </c>
    </row>
    <row r="136" spans="7:10" x14ac:dyDescent="0.25">
      <c r="G136" s="117">
        <v>33.5</v>
      </c>
      <c r="H136">
        <v>1.6133305872264501E-2</v>
      </c>
      <c r="I136">
        <v>-1.184570007431246E-3</v>
      </c>
      <c r="J136">
        <v>1.4948735864833255E-2</v>
      </c>
    </row>
    <row r="137" spans="7:10" x14ac:dyDescent="0.25">
      <c r="G137" s="117">
        <v>33.75</v>
      </c>
      <c r="H137">
        <v>1.6160720700931771E-2</v>
      </c>
      <c r="I137">
        <v>-1.1987374440391926E-3</v>
      </c>
      <c r="J137">
        <v>1.4961983256892578E-2</v>
      </c>
    </row>
    <row r="138" spans="7:10" x14ac:dyDescent="0.25">
      <c r="G138" s="117">
        <v>34</v>
      </c>
      <c r="H138">
        <v>1.6187732554181527E-2</v>
      </c>
      <c r="I138">
        <v>-1.2114339432262172E-3</v>
      </c>
      <c r="J138">
        <v>1.497629861095531E-2</v>
      </c>
    </row>
    <row r="139" spans="7:10" x14ac:dyDescent="0.25">
      <c r="G139" s="117">
        <v>34.25</v>
      </c>
      <c r="H139">
        <v>1.6214350238996394E-2</v>
      </c>
      <c r="I139">
        <v>-1.2226821347987998E-3</v>
      </c>
      <c r="J139">
        <v>1.4991668104197595E-2</v>
      </c>
    </row>
    <row r="140" spans="7:10" x14ac:dyDescent="0.25">
      <c r="G140" s="117">
        <v>34.5</v>
      </c>
      <c r="H140">
        <v>1.6240582308703302E-2</v>
      </c>
      <c r="I140">
        <v>-1.2325046485633928E-3</v>
      </c>
      <c r="J140">
        <v>1.500807766013991E-2</v>
      </c>
    </row>
    <row r="141" spans="7:10" x14ac:dyDescent="0.25">
      <c r="G141" s="117">
        <v>34.75</v>
      </c>
      <c r="H141">
        <v>1.6266437071947124E-2</v>
      </c>
      <c r="I141">
        <v>-1.2409241143264901E-3</v>
      </c>
      <c r="J141">
        <v>1.5025512957620633E-2</v>
      </c>
    </row>
    <row r="142" spans="7:10" x14ac:dyDescent="0.25">
      <c r="G142" s="117">
        <v>35</v>
      </c>
      <c r="H142">
        <v>1.6291922601293637E-2</v>
      </c>
      <c r="I142">
        <v>-1.247963161894565E-3</v>
      </c>
      <c r="J142">
        <v>1.5043959439399072E-2</v>
      </c>
    </row>
    <row r="143" spans="7:10" x14ac:dyDescent="0.25">
      <c r="G143" s="117">
        <v>35.25</v>
      </c>
      <c r="H143">
        <v>1.6317046741478953E-2</v>
      </c>
      <c r="I143">
        <v>-1.2536444210740835E-3</v>
      </c>
      <c r="J143">
        <v>1.5063402320404869E-2</v>
      </c>
    </row>
    <row r="144" spans="7:10" x14ac:dyDescent="0.25">
      <c r="G144" s="117">
        <v>35.5</v>
      </c>
      <c r="H144">
        <v>1.6341817117321716E-2</v>
      </c>
      <c r="I144">
        <v>-1.2579905216715398E-3</v>
      </c>
      <c r="J144">
        <v>1.5083826595650177E-2</v>
      </c>
    </row>
    <row r="145" spans="7:10" x14ac:dyDescent="0.25">
      <c r="G145" s="117">
        <v>35.75</v>
      </c>
      <c r="H145">
        <v>1.6366241141313471E-2</v>
      </c>
      <c r="I145">
        <v>-1.2610240934934069E-3</v>
      </c>
      <c r="J145">
        <v>1.5105217047820065E-2</v>
      </c>
    </row>
    <row r="146" spans="7:10" x14ac:dyDescent="0.25">
      <c r="G146" s="117">
        <v>36</v>
      </c>
      <c r="H146">
        <v>1.6390326020901975E-2</v>
      </c>
      <c r="I146">
        <v>-1.2627677663461442E-3</v>
      </c>
      <c r="J146">
        <v>1.5127558254555831E-2</v>
      </c>
    </row>
    <row r="147" spans="7:10" x14ac:dyDescent="0.25">
      <c r="G147" s="117">
        <v>36.25</v>
      </c>
      <c r="H147">
        <v>1.6414078765481413E-2</v>
      </c>
      <c r="I147">
        <v>-1.2632441700362318E-3</v>
      </c>
      <c r="J147">
        <v>1.5150834595445181E-2</v>
      </c>
    </row>
    <row r="148" spans="7:10" x14ac:dyDescent="0.25">
      <c r="G148" s="117">
        <v>36.5</v>
      </c>
      <c r="H148">
        <v>1.6437506193102767E-2</v>
      </c>
      <c r="I148">
        <v>-1.2624759343701566E-3</v>
      </c>
      <c r="J148">
        <v>1.5175030258732611E-2</v>
      </c>
    </row>
    <row r="149" spans="7:10" x14ac:dyDescent="0.25">
      <c r="G149" s="117">
        <v>36.75</v>
      </c>
      <c r="H149">
        <v>1.6460614936917063E-2</v>
      </c>
      <c r="I149">
        <v>-1.2604856891543781E-3</v>
      </c>
      <c r="J149">
        <v>1.5200129247762685E-2</v>
      </c>
    </row>
    <row r="150" spans="7:10" x14ac:dyDescent="0.25">
      <c r="G150" s="117">
        <v>37</v>
      </c>
      <c r="H150">
        <v>1.6483411451363398E-2</v>
      </c>
      <c r="I150">
        <v>-1.2572960641953901E-3</v>
      </c>
      <c r="J150">
        <v>1.5226115387168008E-2</v>
      </c>
    </row>
    <row r="151" spans="7:10" x14ac:dyDescent="0.25">
      <c r="G151" s="117">
        <v>37.25</v>
      </c>
      <c r="H151">
        <v>1.6505902018113288E-2</v>
      </c>
      <c r="I151">
        <v>-1.2529296892996658E-3</v>
      </c>
      <c r="J151">
        <v>1.5252972328813622E-2</v>
      </c>
    </row>
    <row r="152" spans="7:10" x14ac:dyDescent="0.25">
      <c r="G152" s="117">
        <v>37.5</v>
      </c>
      <c r="H152">
        <v>1.6528092751782127E-2</v>
      </c>
      <c r="I152">
        <v>-1.2474091942736715E-3</v>
      </c>
      <c r="J152">
        <v>1.5280683557508456E-2</v>
      </c>
    </row>
    <row r="153" spans="7:10" x14ac:dyDescent="0.25">
      <c r="G153" s="117">
        <v>37.75</v>
      </c>
      <c r="H153">
        <v>1.6549989605418126E-2</v>
      </c>
      <c r="I153">
        <v>-1.2407572089238733E-3</v>
      </c>
      <c r="J153">
        <v>1.5309232396494253E-2</v>
      </c>
    </row>
    <row r="154" spans="7:10" x14ac:dyDescent="0.25">
      <c r="G154" s="117">
        <v>38</v>
      </c>
      <c r="H154">
        <v>1.6571598375778596E-2</v>
      </c>
      <c r="I154">
        <v>-1.2329963630567792E-3</v>
      </c>
      <c r="J154">
        <v>1.5338602012721816E-2</v>
      </c>
    </row>
    <row r="155" spans="7:10" x14ac:dyDescent="0.25">
      <c r="G155" s="117">
        <v>38.25</v>
      </c>
      <c r="H155">
        <v>1.6592924708402873E-2</v>
      </c>
      <c r="I155">
        <v>-1.2241492864788484E-3</v>
      </c>
      <c r="J155">
        <v>1.5368775421924025E-2</v>
      </c>
    </row>
    <row r="156" spans="7:10" x14ac:dyDescent="0.25">
      <c r="G156" s="117">
        <v>38.5</v>
      </c>
      <c r="H156">
        <v>1.6613974102490846E-2</v>
      </c>
      <c r="I156">
        <v>-1.2142386089965332E-3</v>
      </c>
      <c r="J156">
        <v>1.5399735493494313E-2</v>
      </c>
    </row>
    <row r="157" spans="7:10" x14ac:dyDescent="0.25">
      <c r="G157" s="117">
        <v>38.75</v>
      </c>
      <c r="H157">
        <v>1.6634751915595564E-2</v>
      </c>
      <c r="I157">
        <v>-1.2032869604163485E-3</v>
      </c>
      <c r="J157">
        <v>1.5431464955179216E-2</v>
      </c>
    </row>
    <row r="158" spans="7:10" x14ac:dyDescent="0.25">
      <c r="G158" s="117">
        <v>39</v>
      </c>
      <c r="H158">
        <v>1.6655263368137961E-2</v>
      </c>
      <c r="I158">
        <v>-1.1913169705447396E-3</v>
      </c>
      <c r="J158">
        <v>1.5463946397593221E-2</v>
      </c>
    </row>
    <row r="159" spans="7:10" x14ac:dyDescent="0.25">
      <c r="G159" s="117">
        <v>39.25</v>
      </c>
      <c r="H159">
        <v>1.6675513547751424E-2</v>
      </c>
      <c r="I159">
        <v>-1.1783512691882075E-3</v>
      </c>
      <c r="J159">
        <v>1.5497162278563216E-2</v>
      </c>
    </row>
    <row r="160" spans="7:10" x14ac:dyDescent="0.25">
      <c r="G160" s="117">
        <v>39.5</v>
      </c>
      <c r="H160">
        <v>1.6695507413463481E-2</v>
      </c>
      <c r="I160">
        <v>-1.1644124861532254E-3</v>
      </c>
      <c r="J160">
        <v>1.5531094927310255E-2</v>
      </c>
    </row>
    <row r="161" spans="7:10" x14ac:dyDescent="0.25">
      <c r="G161" s="117">
        <v>39.75</v>
      </c>
      <c r="H161">
        <v>1.6715249799721645E-2</v>
      </c>
      <c r="I161">
        <v>-1.1495232512462317E-3</v>
      </c>
      <c r="J161">
        <v>1.5565726548475413E-2</v>
      </c>
    </row>
    <row r="162" spans="7:10" x14ac:dyDescent="0.25">
      <c r="G162" s="117">
        <v>40</v>
      </c>
      <c r="H162">
        <v>1.673474542026997E-2</v>
      </c>
      <c r="I162">
        <v>-1.133706194273755E-3</v>
      </c>
      <c r="J162">
        <v>1.5601039225996215E-2</v>
      </c>
    </row>
    <row r="163" spans="7:10" x14ac:dyDescent="0.25">
      <c r="G163" s="117">
        <v>40.25</v>
      </c>
      <c r="H163">
        <v>1.6753998871882725E-2</v>
      </c>
      <c r="I163">
        <v>-1.116983945042227E-3</v>
      </c>
      <c r="J163">
        <v>1.5637014926840498E-2</v>
      </c>
    </row>
    <row r="164" spans="7:10" x14ac:dyDescent="0.25">
      <c r="G164" s="117">
        <v>40.5</v>
      </c>
      <c r="H164">
        <v>1.6773014637961166E-2</v>
      </c>
      <c r="I164">
        <v>-1.0993791333581554E-3</v>
      </c>
      <c r="J164">
        <v>1.567363550460301E-2</v>
      </c>
    </row>
    <row r="165" spans="7:10" x14ac:dyDescent="0.25">
      <c r="G165" s="117">
        <v>40.75</v>
      </c>
      <c r="H165">
        <v>1.6791797091999187E-2</v>
      </c>
      <c r="I165">
        <v>-1.0809143890280065E-3</v>
      </c>
      <c r="J165">
        <v>1.571088270297118E-2</v>
      </c>
    </row>
    <row r="166" spans="7:10" x14ac:dyDescent="0.25">
      <c r="G166" s="117">
        <v>41</v>
      </c>
      <c r="H166">
        <v>1.6810350500923291E-2</v>
      </c>
      <c r="I166">
        <v>-1.0616123418582396E-3</v>
      </c>
      <c r="J166">
        <v>1.5748738159065051E-2</v>
      </c>
    </row>
    <row r="167" spans="7:10" x14ac:dyDescent="0.25">
      <c r="G167" s="117">
        <v>41.25</v>
      </c>
      <c r="H167">
        <v>1.682867902831215E-2</v>
      </c>
      <c r="I167">
        <v>-1.0414956216553556E-3</v>
      </c>
      <c r="J167">
        <v>1.5787183406656795E-2</v>
      </c>
    </row>
    <row r="168" spans="7:10" x14ac:dyDescent="0.25">
      <c r="G168" s="117">
        <v>41.5</v>
      </c>
      <c r="H168">
        <v>1.6846786737500705E-2</v>
      </c>
      <c r="I168">
        <v>-1.0205868582258068E-3</v>
      </c>
      <c r="J168">
        <v>1.5826199879274899E-2</v>
      </c>
    </row>
    <row r="169" spans="7:10" x14ac:dyDescent="0.25">
      <c r="G169" s="117">
        <v>41.75</v>
      </c>
      <c r="H169">
        <v>1.6864677594573569E-2</v>
      </c>
      <c r="I169">
        <v>-9.9890868137608724E-4</v>
      </c>
      <c r="J169">
        <v>1.5865768913197482E-2</v>
      </c>
    </row>
    <row r="170" spans="7:10" x14ac:dyDescent="0.25">
      <c r="G170" s="117">
        <v>42</v>
      </c>
      <c r="H170">
        <v>1.6882355471252272E-2</v>
      </c>
      <c r="I170">
        <v>-9.7648372091266311E-4</v>
      </c>
      <c r="J170">
        <v>1.5905871750339608E-2</v>
      </c>
    </row>
    <row r="171" spans="7:10" x14ac:dyDescent="0.25">
      <c r="G171" s="117">
        <v>42.25</v>
      </c>
      <c r="H171">
        <v>1.689982414768066E-2</v>
      </c>
      <c r="I171">
        <v>-9.5333460664201453E-4</v>
      </c>
      <c r="J171">
        <v>1.5946489541038646E-2</v>
      </c>
    </row>
    <row r="172" spans="7:10" x14ac:dyDescent="0.25">
      <c r="G172" s="117">
        <v>42.5</v>
      </c>
      <c r="H172">
        <v>1.6917087315112617E-2</v>
      </c>
      <c r="I172">
        <v>-9.2948396837062852E-4</v>
      </c>
      <c r="J172">
        <v>1.5987603346741989E-2</v>
      </c>
    </row>
    <row r="173" spans="7:10" x14ac:dyDescent="0.25">
      <c r="G173" s="117">
        <v>42.75</v>
      </c>
      <c r="H173">
        <v>1.6934148578505993E-2</v>
      </c>
      <c r="I173">
        <v>-9.0495443590494357E-4</v>
      </c>
      <c r="J173">
        <v>1.6029194142601049E-2</v>
      </c>
    </row>
    <row r="174" spans="7:10" x14ac:dyDescent="0.25">
      <c r="G174" s="117">
        <v>43</v>
      </c>
      <c r="H174">
        <v>1.6951011459026548E-2</v>
      </c>
      <c r="I174">
        <v>-8.7976863905149527E-4</v>
      </c>
      <c r="J174">
        <v>1.6071242819975053E-2</v>
      </c>
    </row>
    <row r="175" spans="7:10" x14ac:dyDescent="0.25">
      <c r="G175" s="117">
        <v>43.25</v>
      </c>
      <c r="H175">
        <v>1.6967679396465509E-2</v>
      </c>
      <c r="I175">
        <v>-8.5394920761668741E-4</v>
      </c>
      <c r="J175">
        <v>1.6113730188848822E-2</v>
      </c>
    </row>
    <row r="176" spans="7:10" x14ac:dyDescent="0.25">
      <c r="G176" s="117">
        <v>43.5</v>
      </c>
      <c r="H176">
        <v>1.698415575157413E-2</v>
      </c>
      <c r="I176">
        <v>-8.2751877140704866E-4</v>
      </c>
      <c r="J176">
        <v>1.6156636980167081E-2</v>
      </c>
    </row>
    <row r="177" spans="7:10" x14ac:dyDescent="0.25">
      <c r="G177" s="117">
        <v>43.75</v>
      </c>
      <c r="H177">
        <v>1.70004438083186E-2</v>
      </c>
      <c r="I177">
        <v>-8.0049996022904524E-4</v>
      </c>
      <c r="J177">
        <v>1.6199943848089555E-2</v>
      </c>
    </row>
    <row r="178" spans="7:10" x14ac:dyDescent="0.25">
      <c r="G178" s="117">
        <v>44</v>
      </c>
      <c r="H178">
        <v>1.7016546776058367E-2</v>
      </c>
      <c r="I178">
        <v>-7.7291540388912949E-4</v>
      </c>
      <c r="J178">
        <v>1.6243631372169238E-2</v>
      </c>
    </row>
    <row r="179" spans="7:10" x14ac:dyDescent="0.25">
      <c r="G179" s="117">
        <v>44.25</v>
      </c>
      <c r="H179">
        <v>1.7032467791650945E-2</v>
      </c>
      <c r="I179">
        <v>-7.4478773219381622E-4</v>
      </c>
      <c r="J179">
        <v>1.6287680059457129E-2</v>
      </c>
    </row>
    <row r="180" spans="7:10" x14ac:dyDescent="0.25">
      <c r="G180" s="117">
        <v>44.5</v>
      </c>
      <c r="H180">
        <v>1.7048209921485997E-2</v>
      </c>
      <c r="I180">
        <v>-7.1613957494953695E-4</v>
      </c>
      <c r="J180">
        <v>1.633207034653646E-2</v>
      </c>
    </row>
    <row r="181" spans="7:10" x14ac:dyDescent="0.25">
      <c r="G181" s="117">
        <v>44.75</v>
      </c>
      <c r="H181">
        <v>1.7063776163451502E-2</v>
      </c>
      <c r="I181">
        <v>-6.8699356196281341E-4</v>
      </c>
      <c r="J181">
        <v>1.6376782601488688E-2</v>
      </c>
    </row>
    <row r="182" spans="7:10" x14ac:dyDescent="0.25">
      <c r="G182" s="117">
        <v>45</v>
      </c>
      <c r="H182">
        <v>1.7079169448834572E-2</v>
      </c>
      <c r="I182">
        <v>-6.5737232304008408E-4</v>
      </c>
      <c r="J182">
        <v>1.6421797125794488E-2</v>
      </c>
    </row>
    <row r="183" spans="7:10" x14ac:dyDescent="0.25">
      <c r="G183" s="117">
        <v>45.25</v>
      </c>
      <c r="H183">
        <v>1.7094392644159465E-2</v>
      </c>
      <c r="I183">
        <v>-6.27298487987836E-4</v>
      </c>
      <c r="J183">
        <v>1.6467094156171629E-2</v>
      </c>
    </row>
    <row r="184" spans="7:10" x14ac:dyDescent="0.25">
      <c r="G184" s="117">
        <v>45.5</v>
      </c>
      <c r="H184">
        <v>1.7109448552965152E-2</v>
      </c>
      <c r="I184">
        <v>-5.9679468661256313E-4</v>
      </c>
      <c r="J184">
        <v>1.6512653866352589E-2</v>
      </c>
    </row>
    <row r="185" spans="7:10" x14ac:dyDescent="0.25">
      <c r="G185" s="117">
        <v>45.75</v>
      </c>
      <c r="H185">
        <v>1.7124339917524791E-2</v>
      </c>
      <c r="I185">
        <v>-5.6588354872069702E-4</v>
      </c>
      <c r="J185">
        <v>1.6558456368804094E-2</v>
      </c>
    </row>
    <row r="186" spans="7:10" x14ac:dyDescent="0.25">
      <c r="G186" s="117">
        <v>46</v>
      </c>
      <c r="H186">
        <v>1.7139069420509231E-2</v>
      </c>
      <c r="I186">
        <v>-5.3458770411877327E-4</v>
      </c>
      <c r="J186">
        <v>1.6604481716390458E-2</v>
      </c>
    </row>
    <row r="187" spans="7:10" x14ac:dyDescent="0.25">
      <c r="G187" s="117">
        <v>46.25</v>
      </c>
      <c r="H187">
        <v>1.7153639686596715E-2</v>
      </c>
      <c r="I187">
        <v>-5.0292978261320953E-4</v>
      </c>
      <c r="J187">
        <v>1.6650709903983506E-2</v>
      </c>
    </row>
    <row r="188" spans="7:10" x14ac:dyDescent="0.25">
      <c r="G188" s="117">
        <v>46.5</v>
      </c>
      <c r="H188">
        <v>1.7168053284030774E-2</v>
      </c>
      <c r="I188">
        <v>-4.7093241401054142E-4</v>
      </c>
      <c r="J188">
        <v>1.6697120870020232E-2</v>
      </c>
    </row>
    <row r="189" spans="7:10" x14ac:dyDescent="0.25">
      <c r="G189" s="117">
        <v>46.75</v>
      </c>
      <c r="H189">
        <v>1.7182312726128201E-2</v>
      </c>
      <c r="I189">
        <v>-4.3861822811719353E-4</v>
      </c>
      <c r="J189">
        <v>1.6743694498011007E-2</v>
      </c>
    </row>
    <row r="190" spans="7:10" x14ac:dyDescent="0.25">
      <c r="G190" s="117">
        <v>47</v>
      </c>
      <c r="H190">
        <v>1.7196420472739032E-2</v>
      </c>
      <c r="I190">
        <v>-4.0600985473965984E-4</v>
      </c>
      <c r="J190">
        <v>1.6790410617999373E-2</v>
      </c>
    </row>
    <row r="191" spans="7:10" x14ac:dyDescent="0.25">
      <c r="G191" s="117">
        <v>47.25</v>
      </c>
      <c r="H191">
        <v>1.7210378931660227E-2</v>
      </c>
      <c r="I191">
        <v>-3.7312992368442044E-4</v>
      </c>
      <c r="J191">
        <v>1.6837249007975806E-2</v>
      </c>
    </row>
    <row r="192" spans="7:10" x14ac:dyDescent="0.25">
      <c r="G192" s="117">
        <v>47.5</v>
      </c>
      <c r="H192">
        <v>1.7224190460004798E-2</v>
      </c>
      <c r="I192">
        <v>-3.4000106475793462E-4</v>
      </c>
      <c r="J192">
        <v>1.6884189395246864E-2</v>
      </c>
    </row>
    <row r="193" spans="7:10" x14ac:dyDescent="0.25">
      <c r="G193" s="117">
        <v>47.75</v>
      </c>
      <c r="H193">
        <v>1.7237857365527996E-2</v>
      </c>
      <c r="I193">
        <v>-3.0664590776670331E-4</v>
      </c>
      <c r="J193">
        <v>1.6931211457761292E-2</v>
      </c>
    </row>
    <row r="194" spans="7:10" x14ac:dyDescent="0.25">
      <c r="G194" s="117">
        <v>48</v>
      </c>
      <c r="H194">
        <v>1.7251381907912103E-2</v>
      </c>
      <c r="I194">
        <v>-2.7308708251717884E-4</v>
      </c>
      <c r="J194">
        <v>1.6978294825394924E-2</v>
      </c>
    </row>
    <row r="195" spans="7:10" x14ac:dyDescent="0.25">
      <c r="G195" s="117">
        <v>48.25</v>
      </c>
      <c r="H195">
        <v>1.7264766300011343E-2</v>
      </c>
      <c r="I195">
        <v>-2.3934721881586213E-4</v>
      </c>
      <c r="J195">
        <v>1.7025419081195481E-2</v>
      </c>
    </row>
    <row r="196" spans="7:10" x14ac:dyDescent="0.25">
      <c r="G196" s="117">
        <v>48.5</v>
      </c>
      <c r="H196">
        <v>1.7278012709058339E-2</v>
      </c>
      <c r="I196">
        <v>-2.0544894646921247E-4</v>
      </c>
      <c r="J196">
        <v>1.7072563762589126E-2</v>
      </c>
    </row>
    <row r="197" spans="7:10" x14ac:dyDescent="0.25">
      <c r="G197" s="117">
        <v>48.75</v>
      </c>
      <c r="H197">
        <v>1.7291123257833479E-2</v>
      </c>
      <c r="I197">
        <v>-1.7141489528370302E-4</v>
      </c>
      <c r="J197">
        <v>1.7119708362549776E-2</v>
      </c>
    </row>
    <row r="198" spans="7:10" x14ac:dyDescent="0.25">
      <c r="G198" s="117">
        <v>49</v>
      </c>
      <c r="H198">
        <v>1.7304100025798554E-2</v>
      </c>
      <c r="I198">
        <v>-1.3726769506582082E-4</v>
      </c>
      <c r="J198">
        <v>1.7166832330732733E-2</v>
      </c>
    </row>
    <row r="199" spans="7:10" x14ac:dyDescent="0.25">
      <c r="G199" s="117">
        <v>49.25</v>
      </c>
      <c r="H199">
        <v>1.7316945050195869E-2</v>
      </c>
      <c r="I199">
        <v>-1.0302997562201127E-4</v>
      </c>
      <c r="J199">
        <v>1.7213915074573857E-2</v>
      </c>
    </row>
    <row r="200" spans="7:10" x14ac:dyDescent="0.25">
      <c r="G200" s="117">
        <v>49.5</v>
      </c>
      <c r="H200">
        <v>1.7329660327114096E-2</v>
      </c>
      <c r="I200">
        <v>-6.8724366758803057E-5</v>
      </c>
      <c r="J200">
        <v>1.7260935960355293E-2</v>
      </c>
    </row>
    <row r="201" spans="7:10" x14ac:dyDescent="0.25">
      <c r="G201" s="117">
        <v>49.75</v>
      </c>
      <c r="H201">
        <v>1.7342247812522034E-2</v>
      </c>
      <c r="I201">
        <v>-3.4373498282627701E-5</v>
      </c>
      <c r="J201">
        <v>1.7307874314239406E-2</v>
      </c>
    </row>
    <row r="202" spans="7:10" x14ac:dyDescent="0.25">
      <c r="G202" s="117">
        <v>50</v>
      </c>
      <c r="H202">
        <v>1.7354709423271344E-2</v>
      </c>
      <c r="I202">
        <v>1.3877787807814457E-17</v>
      </c>
      <c r="J202">
        <v>1.7354709423271358E-2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73"/>
  <sheetViews>
    <sheetView workbookViewId="0">
      <selection activeCell="G25" sqref="G25"/>
    </sheetView>
  </sheetViews>
  <sheetFormatPr defaultRowHeight="15.75" x14ac:dyDescent="0.25"/>
  <cols>
    <col min="3" max="3" width="13.125" customWidth="1"/>
    <col min="4" max="4" width="27.125" style="122" bestFit="1" customWidth="1"/>
    <col min="5" max="5" width="10.25" customWidth="1"/>
    <col min="6" max="6" width="15.875" customWidth="1"/>
    <col min="7" max="8" width="12" customWidth="1"/>
    <col min="9" max="9" width="12.75" customWidth="1"/>
    <col min="10" max="10" width="13.875" customWidth="1"/>
    <col min="11" max="11" width="11.75" customWidth="1"/>
    <col min="12" max="12" width="14.625" customWidth="1"/>
    <col min="13" max="13" width="12" customWidth="1"/>
    <col min="14" max="14" width="13.5" customWidth="1"/>
  </cols>
  <sheetData>
    <row r="1" spans="1:14" x14ac:dyDescent="0.25">
      <c r="H1" t="s">
        <v>130</v>
      </c>
      <c r="I1" t="s">
        <v>131</v>
      </c>
      <c r="J1" t="s">
        <v>132</v>
      </c>
    </row>
    <row r="2" spans="1:14" x14ac:dyDescent="0.25">
      <c r="C2" s="122"/>
      <c r="D2"/>
      <c r="E2" t="s">
        <v>122</v>
      </c>
      <c r="H2" t="s">
        <v>126</v>
      </c>
      <c r="I2" t="s">
        <v>129</v>
      </c>
      <c r="J2" t="s">
        <v>127</v>
      </c>
    </row>
    <row r="3" spans="1:14" x14ac:dyDescent="0.25">
      <c r="B3" t="s">
        <v>120</v>
      </c>
      <c r="C3" s="122"/>
      <c r="D3" s="124" t="s">
        <v>121</v>
      </c>
      <c r="E3" s="110" t="s">
        <v>101</v>
      </c>
      <c r="F3" s="111">
        <f t="array" ref="F3:F6">INDEX(para,ROW($A$1:$A$4))</f>
        <v>1.9834570325452716E-2</v>
      </c>
      <c r="H3" s="111">
        <f>F3*0.99</f>
        <v>1.963622462219819E-2</v>
      </c>
      <c r="I3" s="115">
        <f>F3</f>
        <v>1.9834570325452716E-2</v>
      </c>
      <c r="J3" s="115">
        <f>F3</f>
        <v>1.9834570325452716E-2</v>
      </c>
    </row>
    <row r="4" spans="1:14" x14ac:dyDescent="0.25">
      <c r="B4" t="s">
        <v>118</v>
      </c>
      <c r="D4"/>
      <c r="E4" s="110" t="s">
        <v>102</v>
      </c>
      <c r="F4" s="111">
        <v>-2.1687850174502449E-2</v>
      </c>
      <c r="H4" s="111">
        <f>F4</f>
        <v>-2.1687850174502449E-2</v>
      </c>
      <c r="I4" s="115">
        <f>F4*1.01</f>
        <v>-2.1904728676247473E-2</v>
      </c>
      <c r="J4" s="115">
        <f t="shared" ref="J4:J6" si="0">F4</f>
        <v>-2.1687850174502449E-2</v>
      </c>
    </row>
    <row r="5" spans="1:14" x14ac:dyDescent="0.25">
      <c r="D5"/>
      <c r="E5" s="110" t="s">
        <v>103</v>
      </c>
      <c r="F5" s="111">
        <v>-3.1442242344805901E-2</v>
      </c>
      <c r="H5" s="111">
        <f t="shared" ref="H5:H6" si="1">F5</f>
        <v>-3.1442242344805901E-2</v>
      </c>
      <c r="I5" s="115">
        <f>F5</f>
        <v>-3.1442242344805901E-2</v>
      </c>
      <c r="J5" s="115">
        <f>F5*1.01</f>
        <v>-3.1756664768253957E-2</v>
      </c>
    </row>
    <row r="6" spans="1:14" x14ac:dyDescent="0.25">
      <c r="D6"/>
      <c r="E6" s="110" t="s">
        <v>104</v>
      </c>
      <c r="F6" s="111">
        <v>2.3337630346704854</v>
      </c>
      <c r="H6" s="111">
        <f t="shared" si="1"/>
        <v>2.3337630346704854</v>
      </c>
      <c r="I6" s="115">
        <f>F6</f>
        <v>2.3337630346704854</v>
      </c>
      <c r="J6" s="115">
        <f t="shared" si="0"/>
        <v>2.3337630346704854</v>
      </c>
    </row>
    <row r="7" spans="1:14" x14ac:dyDescent="0.25">
      <c r="D7"/>
    </row>
    <row r="8" spans="1:14" x14ac:dyDescent="0.25">
      <c r="D8"/>
      <c r="G8" t="s">
        <v>123</v>
      </c>
    </row>
    <row r="9" spans="1:14" x14ac:dyDescent="0.25">
      <c r="B9" t="s">
        <v>119</v>
      </c>
      <c r="D9"/>
      <c r="F9" s="110" t="s">
        <v>125</v>
      </c>
      <c r="G9" s="115">
        <f>SUM(D14:D73)</f>
        <v>24.909728765783239</v>
      </c>
    </row>
    <row r="10" spans="1:14" x14ac:dyDescent="0.25">
      <c r="D10"/>
      <c r="F10" s="110" t="s">
        <v>126</v>
      </c>
      <c r="G10" s="115">
        <f>SUM(G14:G73)</f>
        <v>24.978787039280018</v>
      </c>
    </row>
    <row r="11" spans="1:14" x14ac:dyDescent="0.25">
      <c r="C11" s="110" t="s">
        <v>124</v>
      </c>
      <c r="D11" s="111">
        <f>SUM(D14:D73)</f>
        <v>24.909728765783239</v>
      </c>
      <c r="F11" s="110" t="s">
        <v>129</v>
      </c>
      <c r="G11" s="115">
        <f>SUM(I14:I73)</f>
        <v>24.921283092264748</v>
      </c>
    </row>
    <row r="12" spans="1:14" x14ac:dyDescent="0.25">
      <c r="F12" s="110" t="s">
        <v>127</v>
      </c>
      <c r="G12" s="115">
        <f>SUM(K14:K73)</f>
        <v>24.924804073209494</v>
      </c>
    </row>
    <row r="13" spans="1:14" x14ac:dyDescent="0.25">
      <c r="A13" t="s">
        <v>23</v>
      </c>
      <c r="B13" t="s">
        <v>117</v>
      </c>
      <c r="C13" t="s">
        <v>136</v>
      </c>
      <c r="D13" s="123" t="s">
        <v>116</v>
      </c>
      <c r="F13" s="124" t="s">
        <v>133</v>
      </c>
      <c r="G13" t="s">
        <v>115</v>
      </c>
      <c r="H13" s="124" t="s">
        <v>134</v>
      </c>
      <c r="I13" t="s">
        <v>115</v>
      </c>
      <c r="J13" s="124" t="s">
        <v>135</v>
      </c>
      <c r="K13" t="s">
        <v>115</v>
      </c>
      <c r="L13" s="122"/>
      <c r="M13" s="122"/>
      <c r="N13" s="122"/>
    </row>
    <row r="14" spans="1:14" x14ac:dyDescent="0.25">
      <c r="A14">
        <v>0.5</v>
      </c>
      <c r="B14">
        <v>0.5</v>
      </c>
      <c r="C14">
        <f t="array" ref="C14:C73">INDEX(interp_zero_rates(maturities_4,para,residual_rates),ROW($A$1:$A$70))</f>
        <v>-2.6129289999999995E-3</v>
      </c>
      <c r="D14" s="122">
        <f t="shared" ref="D14:D45" si="2">B14*EXP(-C14*A14)</f>
        <v>0.50065365914826132</v>
      </c>
      <c r="F14">
        <f t="array" ref="F14:F73">INDEX(interp_zero_rates(maturities_4,para2,residual_rates),ROW($A$1:$A$70))</f>
        <v>-2.8112747032545261E-3</v>
      </c>
      <c r="G14">
        <f>$B14*EXP(-F14*$A14)</f>
        <v>0.50070331286142611</v>
      </c>
      <c r="H14">
        <f t="array" ref="H14:H73">INDEX(interp_zero_rates(maturities_4,para3,residual_rates),ROW($A$1:$A$70))</f>
        <v>-2.8081487792799226E-3</v>
      </c>
      <c r="I14">
        <f t="shared" ref="I14:I45" si="3">B14*EXP(-H14*A14)</f>
        <v>0.50070253028179279</v>
      </c>
      <c r="J14">
        <f t="array" ref="J14:J73">INDEX(interp_zero_rates(maturities_4,para4,residual_rates),ROW($A$1:$A$70))</f>
        <v>-2.642165478404531E-3</v>
      </c>
      <c r="K14">
        <f>B14*EXP(-J14*A14)</f>
        <v>0.50066097787670161</v>
      </c>
    </row>
    <row r="15" spans="1:14" x14ac:dyDescent="0.25">
      <c r="A15">
        <v>1</v>
      </c>
      <c r="B15">
        <v>0.5</v>
      </c>
      <c r="C15">
        <v>-2.6927409999999994E-3</v>
      </c>
      <c r="D15" s="122">
        <f t="shared" si="2"/>
        <v>0.5013481848416752</v>
      </c>
      <c r="F15">
        <v>-2.891086703254526E-3</v>
      </c>
      <c r="G15">
        <f t="shared" ref="G15:G73" si="4">B15*EXP(-F15*A15)</f>
        <v>0.50144763496239897</v>
      </c>
      <c r="H15">
        <v>-2.8691366722913593E-3</v>
      </c>
      <c r="I15">
        <f t="shared" si="3"/>
        <v>0.50143662829208402</v>
      </c>
      <c r="J15">
        <v>-2.7436297051152362E-3</v>
      </c>
      <c r="K15">
        <f t="shared" ref="K15:K73" si="5">B15*EXP(-J15*A15)</f>
        <v>0.50137369845078539</v>
      </c>
    </row>
    <row r="16" spans="1:14" x14ac:dyDescent="0.25">
      <c r="A16">
        <v>1.5</v>
      </c>
      <c r="B16">
        <v>0.5</v>
      </c>
      <c r="C16">
        <v>-2.5895936678849638E-3</v>
      </c>
      <c r="D16" s="122">
        <f t="shared" si="2"/>
        <v>0.50194597226218518</v>
      </c>
      <c r="F16">
        <v>-2.7879393711394904E-3</v>
      </c>
      <c r="G16">
        <f t="shared" si="4"/>
        <v>0.5020953327201334</v>
      </c>
      <c r="H16">
        <v>-2.7495853909895555E-3</v>
      </c>
      <c r="I16">
        <f t="shared" si="3"/>
        <v>0.50206644751940144</v>
      </c>
      <c r="J16">
        <v>-2.6562046313715012E-3</v>
      </c>
      <c r="K16">
        <f t="shared" si="5"/>
        <v>0.50199612742505206</v>
      </c>
    </row>
    <row r="17" spans="1:11" x14ac:dyDescent="0.25">
      <c r="A17">
        <v>2</v>
      </c>
      <c r="B17">
        <v>0.5</v>
      </c>
      <c r="C17">
        <v>-2.2953549999999981E-3</v>
      </c>
      <c r="D17" s="122">
        <f t="shared" si="2"/>
        <v>0.50230063172612582</v>
      </c>
      <c r="F17">
        <v>-2.4937007032545247E-3</v>
      </c>
      <c r="G17">
        <f t="shared" si="4"/>
        <v>0.50249992959747858</v>
      </c>
      <c r="H17">
        <v>-2.4410128854059844E-3</v>
      </c>
      <c r="I17">
        <f t="shared" si="3"/>
        <v>0.50244698113774733</v>
      </c>
      <c r="J17">
        <v>-2.3730710117247159E-3</v>
      </c>
      <c r="K17">
        <f t="shared" si="5"/>
        <v>0.50237871139757839</v>
      </c>
    </row>
    <row r="18" spans="1:11" x14ac:dyDescent="0.25">
      <c r="A18">
        <v>2.5</v>
      </c>
      <c r="B18">
        <v>0.5</v>
      </c>
      <c r="C18">
        <v>-1.8814159663342368E-3</v>
      </c>
      <c r="D18" s="122">
        <f t="shared" si="2"/>
        <v>0.50235730946153956</v>
      </c>
      <c r="F18">
        <v>-2.0797616695887632E-3</v>
      </c>
      <c r="G18">
        <f t="shared" si="4"/>
        <v>0.50260647226647448</v>
      </c>
      <c r="H18">
        <v>-2.0145140844755162E-3</v>
      </c>
      <c r="I18">
        <f t="shared" si="3"/>
        <v>0.50252449430629198</v>
      </c>
      <c r="J18">
        <v>-1.9666598347088636E-3</v>
      </c>
      <c r="K18">
        <f t="shared" si="5"/>
        <v>0.5024643780707243</v>
      </c>
    </row>
    <row r="19" spans="1:11" x14ac:dyDescent="0.25">
      <c r="A19">
        <v>3</v>
      </c>
      <c r="B19">
        <v>0.5</v>
      </c>
      <c r="C19">
        <v>-1.3729110000000001E-3</v>
      </c>
      <c r="D19" s="122">
        <f t="shared" si="2"/>
        <v>0.50206361331888394</v>
      </c>
      <c r="F19">
        <v>-1.5712567032545267E-3</v>
      </c>
      <c r="G19">
        <f t="shared" si="4"/>
        <v>0.50236244870052416</v>
      </c>
      <c r="H19">
        <v>-1.4949727064020133E-3</v>
      </c>
      <c r="I19">
        <f t="shared" si="3"/>
        <v>0.50224749520832723</v>
      </c>
      <c r="J19">
        <v>-1.4629279268060201E-3</v>
      </c>
      <c r="K19">
        <f t="shared" si="5"/>
        <v>0.50219921429823133</v>
      </c>
    </row>
    <row r="20" spans="1:11" x14ac:dyDescent="0.25">
      <c r="A20">
        <v>3.5</v>
      </c>
      <c r="B20">
        <v>0.5</v>
      </c>
      <c r="C20">
        <v>-7.7996661860770271E-4</v>
      </c>
      <c r="D20" s="122">
        <f t="shared" si="2"/>
        <v>0.50136680634456199</v>
      </c>
      <c r="F20">
        <v>-9.7831232186222942E-4</v>
      </c>
      <c r="G20">
        <f t="shared" si="4"/>
        <v>0.50171498101501644</v>
      </c>
      <c r="H20">
        <v>-8.923026355801846E-4</v>
      </c>
      <c r="I20">
        <f t="shared" si="3"/>
        <v>0.50156397052737467</v>
      </c>
      <c r="J20">
        <v>-8.726507128035216E-4</v>
      </c>
      <c r="K20">
        <f t="shared" si="5"/>
        <v>0.50152947327632125</v>
      </c>
    </row>
    <row r="21" spans="1:11" x14ac:dyDescent="0.25">
      <c r="A21">
        <v>4</v>
      </c>
      <c r="B21">
        <v>0.5</v>
      </c>
      <c r="C21">
        <v>-1.2525349820073715E-4</v>
      </c>
      <c r="D21" s="122">
        <f t="shared" si="2"/>
        <v>0.5002505697606382</v>
      </c>
      <c r="F21">
        <v>-3.2359920145526376E-4</v>
      </c>
      <c r="G21">
        <f t="shared" si="4"/>
        <v>0.50064761744946795</v>
      </c>
      <c r="H21">
        <v>-2.2899394464740273E-4</v>
      </c>
      <c r="I21">
        <f t="shared" si="3"/>
        <v>0.5004581977062591</v>
      </c>
      <c r="J21">
        <v>-2.1900961997655549E-4</v>
      </c>
      <c r="K21">
        <f t="shared" si="5"/>
        <v>0.50043821115684584</v>
      </c>
    </row>
    <row r="22" spans="1:11" x14ac:dyDescent="0.25">
      <c r="A22">
        <v>4.5</v>
      </c>
      <c r="B22">
        <v>0.5</v>
      </c>
      <c r="C22">
        <v>5.7106080613205594E-4</v>
      </c>
      <c r="D22" s="122">
        <f t="shared" si="2"/>
        <v>0.49871676270705956</v>
      </c>
      <c r="F22">
        <v>3.7271510287752933E-4</v>
      </c>
      <c r="G22">
        <f t="shared" si="4"/>
        <v>0.49916209389053795</v>
      </c>
      <c r="H22">
        <v>4.7493944480760943E-4</v>
      </c>
      <c r="I22">
        <f t="shared" si="3"/>
        <v>0.49893252737144062</v>
      </c>
      <c r="J22">
        <v>4.7742693839962957E-4</v>
      </c>
      <c r="K22">
        <f t="shared" si="5"/>
        <v>0.49892694249110736</v>
      </c>
    </row>
    <row r="23" spans="1:11" x14ac:dyDescent="0.25">
      <c r="A23">
        <v>5</v>
      </c>
      <c r="B23">
        <v>0.5</v>
      </c>
      <c r="C23">
        <v>1.2952650000000033E-3</v>
      </c>
      <c r="D23" s="122">
        <f t="shared" si="2"/>
        <v>0.49677230059671973</v>
      </c>
      <c r="F23">
        <v>1.0969192967454767E-3</v>
      </c>
      <c r="G23">
        <f t="shared" si="4"/>
        <v>0.49726520822819392</v>
      </c>
      <c r="H23">
        <v>1.2059171362067784E-3</v>
      </c>
      <c r="I23">
        <f t="shared" si="3"/>
        <v>0.49699427789527134</v>
      </c>
      <c r="J23">
        <v>1.2026341080424523E-3</v>
      </c>
      <c r="K23">
        <f t="shared" si="5"/>
        <v>0.49700243619329015</v>
      </c>
    </row>
    <row r="24" spans="1:11" x14ac:dyDescent="0.25">
      <c r="A24">
        <v>5.5</v>
      </c>
      <c r="B24">
        <v>0.5</v>
      </c>
      <c r="C24">
        <v>2.0374885926595027E-3</v>
      </c>
      <c r="D24" s="122">
        <f t="shared" si="2"/>
        <v>0.49442818408474437</v>
      </c>
      <c r="F24">
        <v>1.8391428894049761E-3</v>
      </c>
      <c r="G24">
        <f t="shared" si="4"/>
        <v>0.49496785077513616</v>
      </c>
      <c r="H24">
        <v>1.9541803474016949E-3</v>
      </c>
      <c r="I24">
        <f t="shared" si="3"/>
        <v>0.4946547806878564</v>
      </c>
      <c r="J24">
        <v>1.9464970860289749E-3</v>
      </c>
      <c r="K24">
        <f t="shared" si="5"/>
        <v>0.49467568422035446</v>
      </c>
    </row>
    <row r="25" spans="1:11" x14ac:dyDescent="0.25">
      <c r="A25">
        <v>6</v>
      </c>
      <c r="B25">
        <v>0.5</v>
      </c>
      <c r="C25">
        <v>2.7870631723534616E-3</v>
      </c>
      <c r="D25" s="122">
        <f t="shared" si="2"/>
        <v>0.49170833191242797</v>
      </c>
      <c r="F25">
        <v>2.588717469098935E-3</v>
      </c>
      <c r="G25">
        <f t="shared" si="4"/>
        <v>0.49229384965744577</v>
      </c>
      <c r="H25">
        <v>2.7091561592158362E-3</v>
      </c>
      <c r="I25">
        <f t="shared" si="3"/>
        <v>0.49193823080529514</v>
      </c>
      <c r="J25">
        <v>2.6981579870620389E-3</v>
      </c>
      <c r="K25">
        <f t="shared" si="5"/>
        <v>0.49197069440451269</v>
      </c>
    </row>
    <row r="26" spans="1:11" x14ac:dyDescent="0.25">
      <c r="A26">
        <v>6.5</v>
      </c>
      <c r="B26">
        <v>0.5</v>
      </c>
      <c r="C26">
        <v>3.5351178162343643E-3</v>
      </c>
      <c r="D26" s="122">
        <f t="shared" si="2"/>
        <v>0.48864186200848653</v>
      </c>
      <c r="F26">
        <v>3.3367721129798377E-3</v>
      </c>
      <c r="G26">
        <f t="shared" si="4"/>
        <v>0.48927224837249433</v>
      </c>
      <c r="H26">
        <v>3.4620554203723289E-3</v>
      </c>
      <c r="I26">
        <f t="shared" si="3"/>
        <v>0.48887397586372516</v>
      </c>
      <c r="J26">
        <v>3.44859976111178E-3</v>
      </c>
      <c r="K26">
        <f t="shared" si="5"/>
        <v>0.48891673552427972</v>
      </c>
    </row>
    <row r="27" spans="1:11" x14ac:dyDescent="0.25">
      <c r="A27">
        <v>7</v>
      </c>
      <c r="B27">
        <v>0.5</v>
      </c>
      <c r="C27">
        <v>4.275038000000001E-3</v>
      </c>
      <c r="D27" s="122">
        <f t="shared" si="2"/>
        <v>0.48525903076756594</v>
      </c>
      <c r="F27">
        <v>4.0766922967454744E-3</v>
      </c>
      <c r="G27">
        <f t="shared" si="4"/>
        <v>0.4859332420094466</v>
      </c>
      <c r="H27">
        <v>4.2063337529331061E-3</v>
      </c>
      <c r="I27">
        <f t="shared" si="3"/>
        <v>0.48549246238955918</v>
      </c>
      <c r="J27">
        <v>4.1910959458855944E-3</v>
      </c>
      <c r="K27">
        <f t="shared" si="5"/>
        <v>0.48554425003471996</v>
      </c>
    </row>
    <row r="28" spans="1:11" x14ac:dyDescent="0.25">
      <c r="A28">
        <v>7.5</v>
      </c>
      <c r="B28">
        <v>0.5</v>
      </c>
      <c r="C28">
        <v>5.0016620473733991E-3</v>
      </c>
      <c r="D28" s="122">
        <f t="shared" si="2"/>
        <v>0.48159120561750707</v>
      </c>
      <c r="F28">
        <v>4.8033163441188725E-3</v>
      </c>
      <c r="G28">
        <f t="shared" si="4"/>
        <v>0.48230815034388735</v>
      </c>
      <c r="H28">
        <v>4.9368897640635675E-3</v>
      </c>
      <c r="I28">
        <f t="shared" si="3"/>
        <v>0.48182521566809822</v>
      </c>
      <c r="J28">
        <v>4.9203998275425907E-3</v>
      </c>
      <c r="K28">
        <f t="shared" si="5"/>
        <v>0.48188480885725621</v>
      </c>
    </row>
    <row r="29" spans="1:11" x14ac:dyDescent="0.25">
      <c r="A29">
        <v>8</v>
      </c>
      <c r="B29">
        <v>0.5</v>
      </c>
      <c r="C29">
        <v>5.7100972932531448E-3</v>
      </c>
      <c r="D29" s="122">
        <f t="shared" si="2"/>
        <v>0.47767344046562177</v>
      </c>
      <c r="F29">
        <v>5.5117515899986182E-3</v>
      </c>
      <c r="G29">
        <f t="shared" si="4"/>
        <v>0.47843199792871738</v>
      </c>
      <c r="H29">
        <v>5.6488826925964308E-3</v>
      </c>
      <c r="I29">
        <f t="shared" si="3"/>
        <v>0.47790742246462348</v>
      </c>
      <c r="J29">
        <v>5.6315548091352471E-3</v>
      </c>
      <c r="K29">
        <f t="shared" si="5"/>
        <v>0.47797367604962859</v>
      </c>
    </row>
    <row r="30" spans="1:11" x14ac:dyDescent="0.25">
      <c r="A30">
        <v>8.5</v>
      </c>
      <c r="B30">
        <v>0.5</v>
      </c>
      <c r="C30">
        <v>6.3961377158393597E-3</v>
      </c>
      <c r="D30" s="122">
        <f t="shared" si="2"/>
        <v>0.47354215057860288</v>
      </c>
      <c r="F30">
        <v>6.1977920125848331E-3</v>
      </c>
      <c r="G30">
        <f t="shared" si="4"/>
        <v>0.47434118688482141</v>
      </c>
      <c r="H30">
        <v>6.3381512911965792E-3</v>
      </c>
      <c r="I30">
        <f t="shared" si="3"/>
        <v>0.47377560974604438</v>
      </c>
      <c r="J30">
        <v>6.3203074419444279E-3</v>
      </c>
      <c r="K30">
        <f t="shared" si="5"/>
        <v>0.47384747403058941</v>
      </c>
    </row>
    <row r="31" spans="1:11" x14ac:dyDescent="0.25">
      <c r="A31">
        <v>9</v>
      </c>
      <c r="B31">
        <v>0.5</v>
      </c>
      <c r="C31">
        <v>7.05625555411327E-3</v>
      </c>
      <c r="D31" s="122">
        <f t="shared" si="2"/>
        <v>0.46923410347225913</v>
      </c>
      <c r="F31">
        <v>6.8579098508587434E-3</v>
      </c>
      <c r="G31">
        <f t="shared" si="4"/>
        <v>0.47007248666749285</v>
      </c>
      <c r="H31">
        <v>7.0012064984087199E-3</v>
      </c>
      <c r="I31">
        <f t="shared" si="3"/>
        <v>0.46946663912011249</v>
      </c>
      <c r="J31">
        <v>6.9830953955411831E-3</v>
      </c>
      <c r="K31">
        <f t="shared" si="5"/>
        <v>0.46954316838442106</v>
      </c>
    </row>
    <row r="32" spans="1:11" x14ac:dyDescent="0.25">
      <c r="A32">
        <v>9.5</v>
      </c>
      <c r="B32">
        <v>0.5</v>
      </c>
      <c r="C32">
        <v>7.6874017035577346E-3</v>
      </c>
      <c r="D32" s="122">
        <f t="shared" si="2"/>
        <v>0.46478632425167538</v>
      </c>
      <c r="F32">
        <v>7.489056000303208E-3</v>
      </c>
      <c r="G32">
        <f t="shared" si="4"/>
        <v>0.46566293940663395</v>
      </c>
      <c r="H32">
        <v>7.63503272507585E-3</v>
      </c>
      <c r="I32">
        <f t="shared" si="3"/>
        <v>0.46501761543882736</v>
      </c>
      <c r="J32">
        <v>7.6168449667665568E-3</v>
      </c>
      <c r="K32">
        <f t="shared" si="5"/>
        <v>0.46509796984658563</v>
      </c>
    </row>
    <row r="33" spans="1:11" x14ac:dyDescent="0.25">
      <c r="A33">
        <v>10</v>
      </c>
      <c r="B33">
        <v>0.5</v>
      </c>
      <c r="C33">
        <v>8.2868530000000089E-3</v>
      </c>
      <c r="D33" s="122">
        <f t="shared" si="2"/>
        <v>0.46023607686981943</v>
      </c>
      <c r="F33">
        <v>8.0885072967454823E-3</v>
      </c>
      <c r="G33">
        <f t="shared" si="4"/>
        <v>0.46114984125975045</v>
      </c>
      <c r="H33">
        <v>8.2369358913744715E-3</v>
      </c>
      <c r="I33">
        <f t="shared" si="3"/>
        <v>0.46046587076070605</v>
      </c>
      <c r="J33">
        <v>8.2188160832203285E-3</v>
      </c>
      <c r="K33">
        <f t="shared" si="5"/>
        <v>0.46054931385273895</v>
      </c>
    </row>
    <row r="34" spans="1:11" x14ac:dyDescent="0.25">
      <c r="A34">
        <v>10.5</v>
      </c>
      <c r="B34">
        <v>0.5</v>
      </c>
      <c r="C34">
        <v>8.8527048908008873E-3</v>
      </c>
      <c r="D34" s="122">
        <f t="shared" si="2"/>
        <v>0.45561798083467508</v>
      </c>
      <c r="F34">
        <v>8.6543591875463607E-3</v>
      </c>
      <c r="G34">
        <f t="shared" si="4"/>
        <v>0.45656785323031923</v>
      </c>
      <c r="H34">
        <v>8.8050367357035593E-3</v>
      </c>
      <c r="I34">
        <f t="shared" si="3"/>
        <v>0.45584608183401404</v>
      </c>
      <c r="J34">
        <v>8.7870931770094585E-3</v>
      </c>
      <c r="K34">
        <f t="shared" si="5"/>
        <v>0.45593197468489399</v>
      </c>
    </row>
    <row r="35" spans="1:11" x14ac:dyDescent="0.25">
      <c r="A35">
        <v>11</v>
      </c>
      <c r="B35">
        <v>0.5</v>
      </c>
      <c r="C35">
        <v>9.3856101026010986E-3</v>
      </c>
      <c r="D35" s="122">
        <f t="shared" si="2"/>
        <v>0.45095447285176826</v>
      </c>
      <c r="F35">
        <v>9.187264399346572E-3</v>
      </c>
      <c r="G35">
        <f t="shared" si="4"/>
        <v>0.45193944066636821</v>
      </c>
      <c r="H35">
        <v>9.3400100230315915E-3</v>
      </c>
      <c r="I35">
        <f t="shared" si="3"/>
        <v>0.45118072875038967</v>
      </c>
      <c r="J35">
        <v>9.3223224392130037E-3</v>
      </c>
      <c r="K35">
        <f t="shared" si="5"/>
        <v>0.45126852055717803</v>
      </c>
    </row>
    <row r="36" spans="1:11" x14ac:dyDescent="0.25">
      <c r="A36">
        <v>11.5</v>
      </c>
      <c r="B36">
        <v>0.5</v>
      </c>
      <c r="C36">
        <v>9.8868877882123309E-3</v>
      </c>
      <c r="D36" s="122">
        <f t="shared" si="2"/>
        <v>0.44626318945455212</v>
      </c>
      <c r="F36">
        <v>9.6885420849578043E-3</v>
      </c>
      <c r="G36">
        <f t="shared" si="4"/>
        <v>0.44728226669858084</v>
      </c>
      <c r="H36">
        <v>9.8431941506705312E-3</v>
      </c>
      <c r="I36">
        <f t="shared" si="3"/>
        <v>0.44648748271447142</v>
      </c>
      <c r="J36">
        <v>9.8258198587174266E-3</v>
      </c>
      <c r="K36">
        <f t="shared" si="5"/>
        <v>0.4465767017719508</v>
      </c>
    </row>
    <row r="37" spans="1:11" x14ac:dyDescent="0.25">
      <c r="A37">
        <v>12</v>
      </c>
      <c r="B37">
        <v>0.5</v>
      </c>
      <c r="C37">
        <v>1.0357867297482918E-2</v>
      </c>
      <c r="D37" s="122">
        <f t="shared" si="2"/>
        <v>0.44155990272533435</v>
      </c>
      <c r="F37">
        <v>1.0159521594228392E-2</v>
      </c>
      <c r="G37">
        <f t="shared" si="4"/>
        <v>0.4426121325734208</v>
      </c>
      <c r="H37">
        <v>1.0315935309179966E-2</v>
      </c>
      <c r="I37">
        <f t="shared" si="3"/>
        <v>0.44178214445098341</v>
      </c>
      <c r="J37">
        <v>1.0298914127205204E-2</v>
      </c>
      <c r="K37">
        <f t="shared" si="5"/>
        <v>0.44187238951842273</v>
      </c>
    </row>
    <row r="38" spans="1:11" x14ac:dyDescent="0.25">
      <c r="A38">
        <v>12.5</v>
      </c>
      <c r="B38">
        <v>0.5</v>
      </c>
      <c r="C38">
        <v>1.0799853973232462E-2</v>
      </c>
      <c r="D38" s="122">
        <f t="shared" si="2"/>
        <v>0.43685875325668455</v>
      </c>
      <c r="F38">
        <v>1.0601508269977935E-2</v>
      </c>
      <c r="G38">
        <f t="shared" si="4"/>
        <v>0.43794321026781663</v>
      </c>
      <c r="H38">
        <v>1.0759553610278808E-2</v>
      </c>
      <c r="I38">
        <f t="shared" si="3"/>
        <v>0.43707887827546449</v>
      </c>
      <c r="J38">
        <v>1.0742911761071741E-2</v>
      </c>
      <c r="K38">
        <f t="shared" si="5"/>
        <v>0.43716981024291035</v>
      </c>
    </row>
    <row r="39" spans="1:11" x14ac:dyDescent="0.25">
      <c r="A39">
        <v>13</v>
      </c>
      <c r="B39">
        <v>0.5</v>
      </c>
      <c r="C39">
        <v>1.1214105218267876E-2</v>
      </c>
      <c r="D39" s="122">
        <f t="shared" si="2"/>
        <v>0.432172463907673</v>
      </c>
      <c r="F39">
        <v>1.101575951501335E-2</v>
      </c>
      <c r="G39">
        <f t="shared" si="4"/>
        <v>0.43328825598778992</v>
      </c>
      <c r="H39">
        <v>1.1175319436817195E-2</v>
      </c>
      <c r="I39">
        <f t="shared" si="3"/>
        <v>0.43239042676068612</v>
      </c>
      <c r="J39">
        <v>1.115907264615573E-2</v>
      </c>
      <c r="K39">
        <f t="shared" si="5"/>
        <v>0.43248176084332263</v>
      </c>
    </row>
    <row r="40" spans="1:11" x14ac:dyDescent="0.25">
      <c r="A40">
        <v>13.5</v>
      </c>
      <c r="B40">
        <v>0.5</v>
      </c>
      <c r="C40">
        <v>1.1601814395076777E-2</v>
      </c>
      <c r="D40" s="122">
        <f t="shared" si="2"/>
        <v>0.42751253265051264</v>
      </c>
      <c r="F40">
        <v>1.140346869182225E-2</v>
      </c>
      <c r="G40">
        <f t="shared" si="4"/>
        <v>0.42865880282870922</v>
      </c>
      <c r="H40">
        <v>1.1564437583990211E-2</v>
      </c>
      <c r="I40">
        <f t="shared" si="3"/>
        <v>0.42772830432851616</v>
      </c>
      <c r="J40">
        <v>1.1548593534909097E-2</v>
      </c>
      <c r="K40">
        <f t="shared" si="5"/>
        <v>0.42781980291503369</v>
      </c>
    </row>
    <row r="41" spans="1:11" x14ac:dyDescent="0.25">
      <c r="A41">
        <v>14</v>
      </c>
      <c r="B41">
        <v>0.5</v>
      </c>
      <c r="C41">
        <v>1.1964100650877177E-2</v>
      </c>
      <c r="D41" s="122">
        <f t="shared" si="2"/>
        <v>0.42288940430196703</v>
      </c>
      <c r="F41">
        <v>1.176575494762265E-2</v>
      </c>
      <c r="G41">
        <f t="shared" si="4"/>
        <v>0.42406533237644972</v>
      </c>
      <c r="H41">
        <v>1.1928037290843661E-2</v>
      </c>
      <c r="I41">
        <f t="shared" si="3"/>
        <v>0.42310296959038735</v>
      </c>
      <c r="J41">
        <v>1.1912597563241176E-2</v>
      </c>
      <c r="K41">
        <f t="shared" si="5"/>
        <v>0.42319443579990063</v>
      </c>
    </row>
    <row r="42" spans="1:11" x14ac:dyDescent="0.25">
      <c r="A42">
        <v>14.5</v>
      </c>
      <c r="B42">
        <v>0.5</v>
      </c>
      <c r="C42">
        <v>1.2302003180865273E-2</v>
      </c>
      <c r="D42" s="122">
        <f t="shared" si="2"/>
        <v>0.41831262191250423</v>
      </c>
      <c r="F42">
        <v>1.2103657477610746E-2</v>
      </c>
      <c r="G42">
        <f t="shared" si="4"/>
        <v>0.41951742601000452</v>
      </c>
      <c r="H42">
        <v>1.2267166680269639E-2</v>
      </c>
      <c r="I42">
        <f t="shared" si="3"/>
        <v>0.41852397723347351</v>
      </c>
      <c r="J42">
        <v>1.225212827965114E-2</v>
      </c>
      <c r="K42">
        <f t="shared" si="5"/>
        <v>0.41861524918729959</v>
      </c>
    </row>
    <row r="43" spans="1:11" x14ac:dyDescent="0.25">
      <c r="A43">
        <v>15</v>
      </c>
      <c r="B43">
        <v>0.5</v>
      </c>
      <c r="C43">
        <v>1.2616478774371363E-2</v>
      </c>
      <c r="D43" s="122">
        <f t="shared" si="2"/>
        <v>0.41379095918746939</v>
      </c>
      <c r="F43">
        <v>1.2418133071116836E-2</v>
      </c>
      <c r="G43">
        <f t="shared" si="4"/>
        <v>0.41502389726978867</v>
      </c>
      <c r="H43">
        <v>1.2582790456709238E-2</v>
      </c>
      <c r="I43">
        <f t="shared" si="3"/>
        <v>0.4140001108469577</v>
      </c>
      <c r="J43">
        <v>1.2568147015298715E-2</v>
      </c>
      <c r="K43">
        <f t="shared" si="5"/>
        <v>0.4140910566302935</v>
      </c>
    </row>
    <row r="44" spans="1:11" x14ac:dyDescent="0.25">
      <c r="A44">
        <v>15.5</v>
      </c>
      <c r="B44">
        <v>0.5</v>
      </c>
      <c r="C44">
        <v>1.2908401750285646E-2</v>
      </c>
      <c r="D44" s="122">
        <f t="shared" si="2"/>
        <v>0.40933253564732702</v>
      </c>
      <c r="F44">
        <v>1.2710056047031119E-2</v>
      </c>
      <c r="G44">
        <f t="shared" si="4"/>
        <v>0.41059290699076495</v>
      </c>
      <c r="H44">
        <v>1.2875789971720593E-2</v>
      </c>
      <c r="I44">
        <f t="shared" si="3"/>
        <v>0.40953949841214116</v>
      </c>
      <c r="J44">
        <v>1.2861532688641996E-2</v>
      </c>
      <c r="K44">
        <f t="shared" si="5"/>
        <v>0.40963001168163221</v>
      </c>
    </row>
    <row r="45" spans="1:11" x14ac:dyDescent="0.25">
      <c r="A45">
        <v>16</v>
      </c>
      <c r="B45">
        <v>0.5</v>
      </c>
      <c r="C45">
        <v>1.3178565593985307E-2</v>
      </c>
      <c r="D45" s="122">
        <f t="shared" si="2"/>
        <v>0.40494491638008651</v>
      </c>
      <c r="F45">
        <v>1.298021989073078E-2</v>
      </c>
      <c r="G45">
        <f t="shared" si="4"/>
        <v>0.40623206304740406</v>
      </c>
      <c r="H45">
        <v>1.3146964972844967E-2</v>
      </c>
      <c r="I45">
        <f t="shared" si="3"/>
        <v>0.40514971232331953</v>
      </c>
      <c r="J45">
        <v>1.3133083346794769E-2</v>
      </c>
      <c r="K45">
        <f t="shared" si="5"/>
        <v>0.40523970850610946</v>
      </c>
    </row>
    <row r="46" spans="1:11" x14ac:dyDescent="0.25">
      <c r="A46">
        <v>16.5</v>
      </c>
      <c r="B46">
        <v>0.5</v>
      </c>
      <c r="C46">
        <v>1.3427685769599863E-2</v>
      </c>
      <c r="D46" s="122">
        <f t="shared" ref="D46:D73" si="6">B46*EXP(-C46*A46)</f>
        <v>0.40063519825906246</v>
      </c>
      <c r="F46">
        <v>1.3229340066345336E-2</v>
      </c>
      <c r="G46">
        <f t="shared" si="4"/>
        <v>0.40194850657906328</v>
      </c>
      <c r="H46">
        <v>1.3397036512310034E-2</v>
      </c>
      <c r="I46">
        <f t="shared" ref="I46:I73" si="7">B46*EXP(-H46*A46)</f>
        <v>0.40083785582396836</v>
      </c>
      <c r="J46">
        <v>1.338351890947662E-2</v>
      </c>
      <c r="K46">
        <f t="shared" si="5"/>
        <v>0.40092726884939611</v>
      </c>
    </row>
    <row r="47" spans="1:11" x14ac:dyDescent="0.25">
      <c r="A47">
        <v>17</v>
      </c>
      <c r="B47">
        <v>0.5</v>
      </c>
      <c r="C47">
        <v>1.3656403307978311E-2</v>
      </c>
      <c r="D47" s="122">
        <f t="shared" si="6"/>
        <v>0.39641008443753256</v>
      </c>
      <c r="F47">
        <v>1.3458057604723784E-2</v>
      </c>
      <c r="G47">
        <f t="shared" si="4"/>
        <v>0.39774898650405871</v>
      </c>
      <c r="H47">
        <v>1.3626650618217131E-2</v>
      </c>
      <c r="I47">
        <f t="shared" si="7"/>
        <v>0.39661063767917121</v>
      </c>
      <c r="J47">
        <v>1.3613484709639603E-2</v>
      </c>
      <c r="K47">
        <f t="shared" si="5"/>
        <v>0.39669941718387625</v>
      </c>
    </row>
    <row r="48" spans="1:11" x14ac:dyDescent="0.25">
      <c r="A48">
        <v>17.5</v>
      </c>
      <c r="B48">
        <v>0.5</v>
      </c>
      <c r="C48">
        <v>1.3865288869486316E-2</v>
      </c>
      <c r="D48" s="122">
        <f t="shared" si="6"/>
        <v>0.3922759488206381</v>
      </c>
      <c r="F48">
        <v>1.366694316623179E-2</v>
      </c>
      <c r="G48">
        <f t="shared" si="4"/>
        <v>0.39363992402053982</v>
      </c>
      <c r="H48">
        <v>1.3836382429272362E-2</v>
      </c>
      <c r="I48">
        <f t="shared" si="7"/>
        <v>0.39247443679232064</v>
      </c>
      <c r="J48">
        <v>1.3823555524959535E-2</v>
      </c>
      <c r="K48">
        <f t="shared" si="5"/>
        <v>0.39256254574169935</v>
      </c>
    </row>
    <row r="49" spans="1:11" x14ac:dyDescent="0.25">
      <c r="A49">
        <v>18</v>
      </c>
      <c r="B49">
        <v>0.5</v>
      </c>
      <c r="C49">
        <v>1.4054847057590992E-2</v>
      </c>
      <c r="D49" s="122">
        <f t="shared" si="6"/>
        <v>0.38823889207666423</v>
      </c>
      <c r="F49">
        <v>1.3856501354336465E-2</v>
      </c>
      <c r="G49">
        <f t="shared" si="4"/>
        <v>0.38962746865492426</v>
      </c>
      <c r="H49">
        <v>1.4026740570654795E-2</v>
      </c>
      <c r="I49">
        <f t="shared" si="7"/>
        <v>0.38843535833452952</v>
      </c>
      <c r="J49">
        <v>1.4014239872273158E-2</v>
      </c>
      <c r="K49">
        <f t="shared" si="5"/>
        <v>0.38852277100723126</v>
      </c>
    </row>
    <row r="50" spans="1:11" x14ac:dyDescent="0.25">
      <c r="A50">
        <v>18.5</v>
      </c>
      <c r="B50">
        <v>0.5</v>
      </c>
      <c r="C50">
        <v>1.4225520818717601E-2</v>
      </c>
      <c r="D50" s="122">
        <f t="shared" si="6"/>
        <v>0.38430479060033584</v>
      </c>
      <c r="F50">
        <v>1.4027175115463074E-2</v>
      </c>
      <c r="G50">
        <f t="shared" si="4"/>
        <v>0.38571754726983931</v>
      </c>
      <c r="H50">
        <v>1.4198171607893153E-2</v>
      </c>
      <c r="I50">
        <f t="shared" si="7"/>
        <v>0.38449928280453449</v>
      </c>
      <c r="J50">
        <v>1.418598439741345E-2</v>
      </c>
      <c r="K50">
        <f t="shared" si="5"/>
        <v>0.38458598309128111</v>
      </c>
    </row>
    <row r="51" spans="1:11" x14ac:dyDescent="0.25">
      <c r="A51">
        <v>19</v>
      </c>
      <c r="B51">
        <v>0.5</v>
      </c>
      <c r="C51">
        <v>1.4377695809768732E-2</v>
      </c>
      <c r="D51" s="122">
        <f t="shared" si="6"/>
        <v>0.38047933969053355</v>
      </c>
      <c r="F51">
        <v>1.4179350106514206E-2</v>
      </c>
      <c r="G51">
        <f t="shared" si="4"/>
        <v>0.381915907293843</v>
      </c>
      <c r="H51">
        <v>1.4351064461318825E-2</v>
      </c>
      <c r="I51">
        <f t="shared" si="7"/>
        <v>0.38067190928570327</v>
      </c>
      <c r="J51">
        <v>1.4339178239470141E-2</v>
      </c>
      <c r="K51">
        <f t="shared" si="5"/>
        <v>0.38075788925866094</v>
      </c>
    </row>
    <row r="52" spans="1:11" x14ac:dyDescent="0.25">
      <c r="A52">
        <v>19.5</v>
      </c>
      <c r="B52">
        <v>0.5</v>
      </c>
      <c r="C52">
        <v>1.4511704649903652E-2</v>
      </c>
      <c r="D52" s="122">
        <f t="shared" si="6"/>
        <v>0.37676809206073802</v>
      </c>
      <c r="F52">
        <v>1.4313358946649125E-2</v>
      </c>
      <c r="G52">
        <f t="shared" si="4"/>
        <v>0.37822815529154391</v>
      </c>
      <c r="H52">
        <v>1.4485754698693613E-2</v>
      </c>
      <c r="I52">
        <f t="shared" si="7"/>
        <v>0.37695879402188426</v>
      </c>
      <c r="J52">
        <v>1.4474157284238478E-2</v>
      </c>
      <c r="K52">
        <f t="shared" si="5"/>
        <v>0.37704405273578434</v>
      </c>
    </row>
    <row r="53" spans="1:11" x14ac:dyDescent="0.25">
      <c r="A53">
        <v>20</v>
      </c>
      <c r="B53">
        <v>0.5</v>
      </c>
      <c r="C53">
        <v>1.4627831000000004E-2</v>
      </c>
      <c r="D53" s="122">
        <f t="shared" si="6"/>
        <v>0.37317649266674557</v>
      </c>
      <c r="F53">
        <v>1.4429485296745478E-2</v>
      </c>
      <c r="G53">
        <f t="shared" si="4"/>
        <v>0.37465979185933185</v>
      </c>
      <c r="H53">
        <v>1.460252865028587E-2</v>
      </c>
      <c r="I53">
        <f t="shared" si="7"/>
        <v>0.37336538529944002</v>
      </c>
      <c r="J53">
        <v>1.4591208248861096E-2</v>
      </c>
      <c r="K53">
        <f t="shared" si="5"/>
        <v>0.37344992779042235</v>
      </c>
    </row>
    <row r="54" spans="1:11" x14ac:dyDescent="0.25">
      <c r="A54">
        <v>20.5</v>
      </c>
      <c r="B54">
        <v>0.5</v>
      </c>
      <c r="C54">
        <v>1.4726507203840861E-2</v>
      </c>
      <c r="D54" s="122">
        <f t="shared" si="6"/>
        <v>0.36970844212226756</v>
      </c>
      <c r="F54">
        <v>1.4528161500586334E-2</v>
      </c>
      <c r="G54">
        <f t="shared" si="4"/>
        <v>0.37121476913471046</v>
      </c>
      <c r="H54">
        <v>1.4701821081163562E-2</v>
      </c>
      <c r="I54">
        <f t="shared" si="7"/>
        <v>0.36989558616496654</v>
      </c>
      <c r="J54">
        <v>1.4690766330617449E-2</v>
      </c>
      <c r="K54">
        <f t="shared" si="5"/>
        <v>0.36997942228455827</v>
      </c>
    </row>
    <row r="55" spans="1:11" x14ac:dyDescent="0.25">
      <c r="A55">
        <v>21</v>
      </c>
      <c r="B55">
        <v>0.5</v>
      </c>
      <c r="C55">
        <v>1.4808899240244649E-2</v>
      </c>
      <c r="D55" s="122">
        <f t="shared" si="6"/>
        <v>0.36636174308723973</v>
      </c>
      <c r="F55">
        <v>1.4610553536990123E-2</v>
      </c>
      <c r="G55">
        <f t="shared" si="4"/>
        <v>0.36789091740967106</v>
      </c>
      <c r="H55">
        <v>1.4784800170540797E-2</v>
      </c>
      <c r="I55">
        <f t="shared" si="7"/>
        <v>0.36654719853182338</v>
      </c>
      <c r="J55">
        <v>1.4774000168248098E-2</v>
      </c>
      <c r="K55">
        <f t="shared" si="5"/>
        <v>0.36663034088208657</v>
      </c>
    </row>
    <row r="56" spans="1:11" x14ac:dyDescent="0.25">
      <c r="A56">
        <v>21.5</v>
      </c>
      <c r="B56">
        <v>0.5</v>
      </c>
      <c r="C56">
        <v>1.4876328813458E-2</v>
      </c>
      <c r="D56" s="122">
        <f t="shared" si="6"/>
        <v>0.36313222674115736</v>
      </c>
      <c r="F56">
        <v>1.4677983110203473E-2</v>
      </c>
      <c r="G56">
        <f t="shared" si="4"/>
        <v>0.36468408620252701</v>
      </c>
      <c r="H56">
        <v>1.485278962602654E-2</v>
      </c>
      <c r="I56">
        <f t="shared" si="7"/>
        <v>0.36331605176074311</v>
      </c>
      <c r="J56">
        <v>1.4842233942505955E-2</v>
      </c>
      <c r="K56">
        <f t="shared" si="5"/>
        <v>0.36339851467685014</v>
      </c>
    </row>
    <row r="57" spans="1:11" x14ac:dyDescent="0.25">
      <c r="A57">
        <v>22</v>
      </c>
      <c r="B57">
        <v>0.5</v>
      </c>
      <c r="C57">
        <v>1.4930082742829962E-2</v>
      </c>
      <c r="D57" s="122">
        <f t="shared" si="6"/>
        <v>0.36001520910798424</v>
      </c>
      <c r="F57">
        <v>1.4731737039575435E-2</v>
      </c>
      <c r="G57">
        <f t="shared" si="4"/>
        <v>0.36158960596950623</v>
      </c>
      <c r="H57">
        <v>1.4907078094246334E-2</v>
      </c>
      <c r="I57">
        <f t="shared" si="7"/>
        <v>0.36019745973696887</v>
      </c>
      <c r="J57">
        <v>1.4896756776483215E-2</v>
      </c>
      <c r="K57">
        <f t="shared" si="5"/>
        <v>0.36027925869728816</v>
      </c>
    </row>
    <row r="58" spans="1:11" x14ac:dyDescent="0.25">
      <c r="A58">
        <v>22.5</v>
      </c>
      <c r="B58">
        <v>0.5</v>
      </c>
      <c r="C58">
        <v>1.4971415885482875E-2</v>
      </c>
      <c r="D58" s="122">
        <f t="shared" si="6"/>
        <v>0.35700551898390959</v>
      </c>
      <c r="F58">
        <v>1.4773070182228348E-2</v>
      </c>
      <c r="G58">
        <f t="shared" si="4"/>
        <v>0.35860231590043445</v>
      </c>
      <c r="H58">
        <v>1.4948922101939726E-2</v>
      </c>
      <c r="I58">
        <f t="shared" si="7"/>
        <v>0.35718624882417727</v>
      </c>
      <c r="J58">
        <v>1.4938825669082396E-2</v>
      </c>
      <c r="K58">
        <f t="shared" si="5"/>
        <v>0.35726739994839146</v>
      </c>
    </row>
    <row r="59" spans="1:11" x14ac:dyDescent="0.25">
      <c r="A59">
        <v>23</v>
      </c>
      <c r="B59">
        <v>0.5</v>
      </c>
      <c r="C59">
        <v>1.500155382971367E-2</v>
      </c>
      <c r="D59" s="122">
        <f t="shared" si="6"/>
        <v>0.3540975217409999</v>
      </c>
      <c r="F59">
        <v>1.4803208126459143E-2</v>
      </c>
      <c r="G59">
        <f t="shared" si="4"/>
        <v>0.35571658758807306</v>
      </c>
      <c r="H59">
        <v>1.4979548765599419E-2</v>
      </c>
      <c r="I59">
        <f t="shared" si="7"/>
        <v>0.35427678168975807</v>
      </c>
      <c r="J59">
        <v>1.4969668199113778E-2</v>
      </c>
      <c r="K59">
        <f t="shared" si="5"/>
        <v>0.3543573013103789</v>
      </c>
    </row>
    <row r="60" spans="1:11" x14ac:dyDescent="0.25">
      <c r="A60">
        <v>23.5</v>
      </c>
      <c r="B60">
        <v>0.5</v>
      </c>
      <c r="C60">
        <v>1.5021695369862607E-2</v>
      </c>
      <c r="D60" s="122">
        <f t="shared" si="6"/>
        <v>0.3512851396071846</v>
      </c>
      <c r="F60">
        <v>1.4823349666608081E-2</v>
      </c>
      <c r="G60">
        <f t="shared" si="4"/>
        <v>0.35292634517148547</v>
      </c>
      <c r="H60">
        <v>1.5000158280674658E-2</v>
      </c>
      <c r="I60">
        <f t="shared" si="7"/>
        <v>0.35146297760269329</v>
      </c>
      <c r="J60">
        <v>1.4990485010578194E-2</v>
      </c>
      <c r="K60">
        <f t="shared" si="5"/>
        <v>0.35154288189765975</v>
      </c>
    </row>
    <row r="61" spans="1:11" x14ac:dyDescent="0.25">
      <c r="A61">
        <v>24</v>
      </c>
      <c r="B61">
        <v>0.5</v>
      </c>
      <c r="C61">
        <v>1.5033014775022552E-2</v>
      </c>
      <c r="D61" s="122">
        <f t="shared" si="6"/>
        <v>0.34856186898807517</v>
      </c>
      <c r="F61">
        <v>1.4834669071768026E-2</v>
      </c>
      <c r="G61">
        <f t="shared" si="4"/>
        <v>0.35022508251917722</v>
      </c>
      <c r="H61">
        <v>1.501192620295742E-2</v>
      </c>
      <c r="I61">
        <f t="shared" si="7"/>
        <v>0.34873832977021879</v>
      </c>
      <c r="J61">
        <v>1.5002452091386479E-2</v>
      </c>
      <c r="K61">
        <f t="shared" si="5"/>
        <v>0.34881763444626068</v>
      </c>
    </row>
    <row r="62" spans="1:11" x14ac:dyDescent="0.25">
      <c r="A62">
        <v>24.5</v>
      </c>
      <c r="B62">
        <v>0.5</v>
      </c>
      <c r="C62">
        <v>1.5036663864837783E-2</v>
      </c>
      <c r="D62" s="122">
        <f t="shared" si="6"/>
        <v>0.34592079536882836</v>
      </c>
      <c r="F62">
        <v>1.4838318161583257E-2</v>
      </c>
      <c r="G62">
        <f t="shared" si="4"/>
        <v>0.34760587799078302</v>
      </c>
      <c r="H62">
        <v>1.5016005535611901E-2</v>
      </c>
      <c r="I62">
        <f t="shared" si="7"/>
        <v>0.34609592025206853</v>
      </c>
      <c r="J62">
        <v>1.5006722858685595E-2</v>
      </c>
      <c r="K62">
        <f t="shared" si="5"/>
        <v>0.34617464027022604</v>
      </c>
    </row>
    <row r="63" spans="1:11" x14ac:dyDescent="0.25">
      <c r="A63">
        <v>25</v>
      </c>
      <c r="B63">
        <v>0.5</v>
      </c>
      <c r="C63">
        <v>1.5033773905961299E-2</v>
      </c>
      <c r="D63" s="122">
        <f t="shared" si="6"/>
        <v>0.34335460631371623</v>
      </c>
      <c r="F63">
        <v>1.4835428202706773E-2</v>
      </c>
      <c r="G63">
        <f t="shared" si="4"/>
        <v>0.34506140729585139</v>
      </c>
      <c r="H63">
        <v>1.5013528635598685E-2</v>
      </c>
      <c r="I63">
        <f t="shared" si="7"/>
        <v>0.34352843297047797</v>
      </c>
      <c r="J63">
        <v>1.5004430064313632E-2</v>
      </c>
      <c r="K63">
        <f t="shared" si="5"/>
        <v>0.34360658230662799</v>
      </c>
    </row>
    <row r="64" spans="1:11" x14ac:dyDescent="0.25">
      <c r="A64">
        <v>25.5</v>
      </c>
      <c r="B64">
        <v>0.5</v>
      </c>
      <c r="C64">
        <v>1.5025457342659232E-2</v>
      </c>
      <c r="D64" s="122">
        <f t="shared" si="6"/>
        <v>0.34085560306637136</v>
      </c>
      <c r="F64">
        <v>1.4827111639404705E-2</v>
      </c>
      <c r="G64">
        <f t="shared" si="4"/>
        <v>0.34258395495392285</v>
      </c>
      <c r="H64">
        <v>1.5005608953139845E-2</v>
      </c>
      <c r="I64">
        <f t="shared" si="7"/>
        <v>0.34102816531937141</v>
      </c>
      <c r="J64">
        <v>1.4996687533849608E-2</v>
      </c>
      <c r="K64">
        <f t="shared" si="5"/>
        <v>0.34110575675385585</v>
      </c>
    </row>
    <row r="65" spans="1:11" x14ac:dyDescent="0.25">
      <c r="A65">
        <v>26</v>
      </c>
      <c r="B65">
        <v>0.5</v>
      </c>
      <c r="C65">
        <v>1.5012809374690628E-2</v>
      </c>
      <c r="D65" s="122">
        <f t="shared" si="6"/>
        <v>0.33841571124396952</v>
      </c>
      <c r="F65">
        <v>1.4814463671436101E-2</v>
      </c>
      <c r="G65">
        <f t="shared" si="4"/>
        <v>0.34016542485073875</v>
      </c>
      <c r="H65">
        <v>1.4993342617489532E-2</v>
      </c>
      <c r="I65">
        <f t="shared" si="7"/>
        <v>0.3385870388664034</v>
      </c>
      <c r="J65">
        <v>1.4984591752381203E-2</v>
      </c>
      <c r="K65">
        <f t="shared" si="5"/>
        <v>0.33866408379791674</v>
      </c>
    </row>
    <row r="66" spans="1:11" x14ac:dyDescent="0.25">
      <c r="A66">
        <v>26.5</v>
      </c>
      <c r="B66">
        <v>0.5</v>
      </c>
      <c r="C66">
        <v>1.4996909395040539E-2</v>
      </c>
      <c r="D66" s="122">
        <f t="shared" si="6"/>
        <v>0.33602649111303806</v>
      </c>
      <c r="F66">
        <v>1.4798563691786013E-2</v>
      </c>
      <c r="G66">
        <f t="shared" si="4"/>
        <v>0.3377973503802113</v>
      </c>
      <c r="H66">
        <v>1.4977809881706213E-2</v>
      </c>
      <c r="I66">
        <f t="shared" si="7"/>
        <v>0.33619660963591863</v>
      </c>
      <c r="J66">
        <v>1.4969223309576061E-2</v>
      </c>
      <c r="K66">
        <f t="shared" si="5"/>
        <v>0.33627311791571635</v>
      </c>
    </row>
    <row r="67" spans="1:11" x14ac:dyDescent="0.25">
      <c r="A67">
        <v>27</v>
      </c>
      <c r="B67">
        <v>0.5</v>
      </c>
      <c r="C67">
        <v>1.4978822299413892E-2</v>
      </c>
      <c r="D67" s="122">
        <f t="shared" si="6"/>
        <v>0.3336791479322993</v>
      </c>
      <c r="F67">
        <v>1.4780476596159366E-2</v>
      </c>
      <c r="G67">
        <f t="shared" si="4"/>
        <v>0.33547090465987883</v>
      </c>
      <c r="H67">
        <v>1.496007643843651E-2</v>
      </c>
      <c r="I67">
        <f t="shared" si="7"/>
        <v>0.33384807845858427</v>
      </c>
      <c r="J67">
        <v>1.4951648215980617E-2</v>
      </c>
      <c r="K67">
        <f t="shared" si="5"/>
        <v>0.33392405824184884</v>
      </c>
    </row>
    <row r="68" spans="1:11" x14ac:dyDescent="0.25">
      <c r="A68">
        <v>27.5</v>
      </c>
      <c r="B68">
        <v>0.5</v>
      </c>
      <c r="C68">
        <v>1.4959599678656862E-2</v>
      </c>
      <c r="D68" s="122">
        <f t="shared" si="6"/>
        <v>0.33136454284812422</v>
      </c>
      <c r="F68">
        <v>1.4761253975402336E-2</v>
      </c>
      <c r="G68">
        <f t="shared" si="4"/>
        <v>0.33317691130812765</v>
      </c>
      <c r="H68">
        <v>1.4941194617966487E-2</v>
      </c>
      <c r="I68">
        <f t="shared" si="7"/>
        <v>0.33153230187359811</v>
      </c>
      <c r="J68">
        <v>1.4932919101735768E-2</v>
      </c>
      <c r="K68">
        <f t="shared" si="5"/>
        <v>0.3316077594854614</v>
      </c>
    </row>
    <row r="69" spans="1:11" x14ac:dyDescent="0.25">
      <c r="A69">
        <v>28</v>
      </c>
      <c r="B69">
        <v>0.5</v>
      </c>
      <c r="C69">
        <v>1.4940280904499649E-2</v>
      </c>
      <c r="D69" s="122">
        <f t="shared" si="6"/>
        <v>0.32907320482993158</v>
      </c>
      <c r="F69">
        <v>1.4741935201245122E-2</v>
      </c>
      <c r="G69">
        <f t="shared" si="4"/>
        <v>0.33090585627361679</v>
      </c>
      <c r="H69">
        <v>1.4922204479011854E-2</v>
      </c>
      <c r="I69">
        <f t="shared" si="7"/>
        <v>0.32923980407111764</v>
      </c>
      <c r="J69">
        <v>1.4914076308129669E-2</v>
      </c>
      <c r="K69">
        <f t="shared" si="5"/>
        <v>0.3293147438854086</v>
      </c>
    </row>
    <row r="70" spans="1:11" x14ac:dyDescent="0.25">
      <c r="A70">
        <v>28.5</v>
      </c>
      <c r="B70">
        <v>0.5</v>
      </c>
      <c r="C70">
        <v>1.4921894118237715E-2</v>
      </c>
      <c r="D70" s="122">
        <f t="shared" si="6"/>
        <v>0.32679534413532074</v>
      </c>
      <c r="F70">
        <v>1.4723548414983188E-2</v>
      </c>
      <c r="G70">
        <f t="shared" si="4"/>
        <v>0.32864790121019927</v>
      </c>
      <c r="H70">
        <v>1.4904134801931725E-2</v>
      </c>
      <c r="I70">
        <f t="shared" si="7"/>
        <v>0.32696079036499764</v>
      </c>
      <c r="J70">
        <v>1.4896148881633238E-2</v>
      </c>
      <c r="K70">
        <f t="shared" si="5"/>
        <v>0.32703521469427643</v>
      </c>
    </row>
    <row r="71" spans="1:11" x14ac:dyDescent="0.25">
      <c r="A71">
        <v>29</v>
      </c>
      <c r="B71">
        <v>0.5</v>
      </c>
      <c r="C71">
        <v>1.4905457131205269E-2</v>
      </c>
      <c r="D71" s="122">
        <f t="shared" si="6"/>
        <v>0.32452086779696865</v>
      </c>
      <c r="F71">
        <v>1.4707111427950743E-2</v>
      </c>
      <c r="G71">
        <f t="shared" si="4"/>
        <v>0.32639289889327894</v>
      </c>
      <c r="H71">
        <v>1.4888003993278786E-2</v>
      </c>
      <c r="I71">
        <f t="shared" si="7"/>
        <v>0.32468516268815634</v>
      </c>
      <c r="J71">
        <v>1.48801554793017E-2</v>
      </c>
      <c r="K71">
        <f t="shared" si="5"/>
        <v>0.32475907168402396</v>
      </c>
    </row>
    <row r="72" spans="1:11" x14ac:dyDescent="0.25">
      <c r="A72">
        <v>29.5</v>
      </c>
      <c r="B72">
        <v>0.5</v>
      </c>
      <c r="C72">
        <v>1.489197824516005E-2</v>
      </c>
      <c r="D72" s="122">
        <f t="shared" si="6"/>
        <v>0.32223939762436821</v>
      </c>
      <c r="F72">
        <v>1.4693632541905524E-2</v>
      </c>
      <c r="G72">
        <f t="shared" si="4"/>
        <v>0.32413041117498737</v>
      </c>
      <c r="H72">
        <v>1.4874820909856508E-2</v>
      </c>
      <c r="I72">
        <f t="shared" si="7"/>
        <v>0.32240253760392862</v>
      </c>
      <c r="J72">
        <v>1.4867105193690796E-2</v>
      </c>
      <c r="K72">
        <f t="shared" si="5"/>
        <v>0.32247592916697376</v>
      </c>
    </row>
    <row r="73" spans="1:11" x14ac:dyDescent="0.25">
      <c r="A73">
        <v>30</v>
      </c>
      <c r="B73">
        <v>0.5</v>
      </c>
      <c r="C73">
        <v>1.4882457E-2</v>
      </c>
      <c r="D73" s="122">
        <f t="shared" si="6"/>
        <v>0.31994029121231748</v>
      </c>
      <c r="F73">
        <v>1.4684111296745473E-2</v>
      </c>
      <c r="G73">
        <f t="shared" si="4"/>
        <v>0.32184972997478734</v>
      </c>
      <c r="H73">
        <v>1.4865585609749222E-2</v>
      </c>
      <c r="I73">
        <f t="shared" si="7"/>
        <v>0.32010226732559255</v>
      </c>
      <c r="J73">
        <v>1.485799830473721E-2</v>
      </c>
      <c r="K73">
        <f t="shared" si="5"/>
        <v>0.32017513702466449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oleObjects>
    <mc:AlternateContent xmlns:mc="http://schemas.openxmlformats.org/markup-compatibility/2006">
      <mc:Choice Requires="x14">
        <oleObject progId="Equation.DSMT4" shapeId="7170" r:id="rId4">
          <objectPr defaultSize="0" autoPict="0" r:id="rId5">
            <anchor moveWithCells="1" sizeWithCells="1">
              <from>
                <xdr:col>1</xdr:col>
                <xdr:colOff>28575</xdr:colOff>
                <xdr:row>4</xdr:row>
                <xdr:rowOff>47625</xdr:rowOff>
              </from>
              <to>
                <xdr:col>3</xdr:col>
                <xdr:colOff>133350</xdr:colOff>
                <xdr:row>7</xdr:row>
                <xdr:rowOff>38100</xdr:rowOff>
              </to>
            </anchor>
          </objectPr>
        </oleObject>
      </mc:Choice>
      <mc:Fallback>
        <oleObject progId="Equation.DSMT4" shapeId="7170" r:id="rId4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4:H21"/>
  <sheetViews>
    <sheetView workbookViewId="0">
      <selection activeCell="K31" sqref="K31"/>
    </sheetView>
  </sheetViews>
  <sheetFormatPr defaultRowHeight="15.75" x14ac:dyDescent="0.25"/>
  <sheetData>
    <row r="4" spans="3:4" x14ac:dyDescent="0.25">
      <c r="C4" s="124" t="s">
        <v>128</v>
      </c>
    </row>
    <row r="5" spans="3:4" x14ac:dyDescent="0.25">
      <c r="D5" t="s">
        <v>139</v>
      </c>
    </row>
    <row r="6" spans="3:4" x14ac:dyDescent="0.25">
      <c r="D6" t="s">
        <v>137</v>
      </c>
    </row>
    <row r="7" spans="3:4" x14ac:dyDescent="0.25">
      <c r="D7" t="s">
        <v>138</v>
      </c>
    </row>
    <row r="8" spans="3:4" x14ac:dyDescent="0.25">
      <c r="D8" t="s">
        <v>143</v>
      </c>
    </row>
    <row r="15" spans="3:4" x14ac:dyDescent="0.25">
      <c r="C15" s="124" t="s">
        <v>140</v>
      </c>
      <c r="D15" t="s">
        <v>145</v>
      </c>
    </row>
    <row r="16" spans="3:4" x14ac:dyDescent="0.25">
      <c r="C16" s="124"/>
      <c r="D16" t="s">
        <v>147</v>
      </c>
    </row>
    <row r="17" spans="4:8" x14ac:dyDescent="0.25">
      <c r="D17" s="124" t="s">
        <v>93</v>
      </c>
      <c r="E17">
        <v>0</v>
      </c>
      <c r="F17">
        <v>0.5</v>
      </c>
      <c r="G17">
        <v>1</v>
      </c>
      <c r="H17">
        <v>2</v>
      </c>
    </row>
    <row r="18" spans="4:8" x14ac:dyDescent="0.25">
      <c r="D18" s="124" t="s">
        <v>142</v>
      </c>
      <c r="E18">
        <f>E17+0.001</f>
        <v>1E-3</v>
      </c>
      <c r="F18">
        <f t="shared" ref="F18:H18" si="0">F17+0.001</f>
        <v>0.501</v>
      </c>
      <c r="G18">
        <f t="shared" si="0"/>
        <v>1.0009999999999999</v>
      </c>
      <c r="H18">
        <f t="shared" si="0"/>
        <v>2.0009999999999999</v>
      </c>
    </row>
    <row r="19" spans="4:8" x14ac:dyDescent="0.25">
      <c r="D19" s="124" t="s">
        <v>141</v>
      </c>
      <c r="E19">
        <f>instan_forward_rate(E17:E18)</f>
        <v>-1.8565087452092248E-3</v>
      </c>
      <c r="F19">
        <f t="shared" ref="F19:H19" si="1">instan_forward_rate(F17:F18)</f>
        <v>-2.6616694032090163E-3</v>
      </c>
      <c r="G19">
        <f t="shared" si="1"/>
        <v>-2.7398359567683862E-3</v>
      </c>
      <c r="H19">
        <f t="shared" si="1"/>
        <v>-8.4620566098799225E-4</v>
      </c>
    </row>
    <row r="21" spans="4:8" x14ac:dyDescent="0.25">
      <c r="D21" t="s">
        <v>146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8196" r:id="rId3">
          <objectPr defaultSize="0" autoPict="0" r:id="rId4">
            <anchor moveWithCells="1" sizeWithCells="1">
              <from>
                <xdr:col>3</xdr:col>
                <xdr:colOff>447675</xdr:colOff>
                <xdr:row>21</xdr:row>
                <xdr:rowOff>57150</xdr:rowOff>
              </from>
              <to>
                <xdr:col>9</xdr:col>
                <xdr:colOff>561975</xdr:colOff>
                <xdr:row>34</xdr:row>
                <xdr:rowOff>57150</xdr:rowOff>
              </to>
            </anchor>
          </objectPr>
        </oleObject>
      </mc:Choice>
      <mc:Fallback>
        <oleObject progId="Equation.DSMT4" shapeId="8196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Cover</vt:lpstr>
      <vt:lpstr>Q #1</vt:lpstr>
      <vt:lpstr>Q #2</vt:lpstr>
      <vt:lpstr>Q #3</vt:lpstr>
      <vt:lpstr>Q #4</vt:lpstr>
      <vt:lpstr>Application (i)&amp;(ii)</vt:lpstr>
      <vt:lpstr>Application (iii)</vt:lpstr>
      <vt:lpstr>Application(iv)&amp;(v)</vt:lpstr>
      <vt:lpstr>Application(vi)&amp;(vii)</vt:lpstr>
      <vt:lpstr>beta0</vt:lpstr>
      <vt:lpstr>beta1</vt:lpstr>
      <vt:lpstr>beta2</vt:lpstr>
      <vt:lpstr>lambda</vt:lpstr>
      <vt:lpstr>maturities</vt:lpstr>
      <vt:lpstr>maturities_4</vt:lpstr>
      <vt:lpstr>para</vt:lpstr>
      <vt:lpstr>para2</vt:lpstr>
      <vt:lpstr>para3</vt:lpstr>
      <vt:lpstr>para4</vt:lpstr>
      <vt:lpstr>residual_rates</vt:lpstr>
      <vt:lpstr>test_box</vt:lpstr>
    </vt:vector>
  </TitlesOfParts>
  <Company>Baruch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Baruch College</dc:creator>
  <cp:lastModifiedBy>Zengye Wang</cp:lastModifiedBy>
  <dcterms:created xsi:type="dcterms:W3CDTF">2015-09-04T20:49:45Z</dcterms:created>
  <dcterms:modified xsi:type="dcterms:W3CDTF">2015-09-10T04:12:47Z</dcterms:modified>
</cp:coreProperties>
</file>